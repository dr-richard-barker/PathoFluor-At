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date1904="1" autoCompressPictures="0" showInkAnnotation="0"/>
  <bookViews>
    <workbookView activeTab="9" firstSheet="2" tabRatio="500" windowHeight="16060" windowWidth="28780" xWindow="36620" yWindow="0"/>
  </bookViews>
  <sheets>
    <sheet name="Pathogen_hyperspectral assay.cs" sheetId="1" r:id="rId1"/>
    <sheet name="split" sheetId="2" r:id="rId2"/>
    <sheet name="Col-0" sheetId="3" r:id="rId3"/>
    <sheet name="cml24-2" sheetId="4" r:id="rId4"/>
    <sheet name="cml24-4" sheetId="5" r:id="rId5"/>
    <sheet name="FLS2-101" sheetId="6" r:id="rId6"/>
    <sheet name="GLR3.3-2" sheetId="9" r:id="rId7"/>
    <sheet name="GLR3.3-1" sheetId="8" r:id="rId8"/>
    <sheet name="GL3.4-2" sheetId="7" r:id="rId9"/>
    <sheet name="GLR3.4-1" sheetId="10" r:id="rId10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<sst xmlns="http://schemas.openxmlformats.org/spreadsheetml/2006/main" count="5555" uniqueCount="525">
  <si>
    <t>filename</t>
  </si>
  <si>
    <t>Genotype</t>
  </si>
  <si>
    <t>Day</t>
  </si>
  <si>
    <t>Treatment</t>
  </si>
  <si>
    <t>total green pixels</t>
  </si>
  <si>
    <t>red pixels (4 cm^2)</t>
  </si>
  <si>
    <t>leaf area cm^2</t>
  </si>
  <si>
    <t>day3_cropped_plate_r___002_004 copy_Plant_9_408.jpg</t>
  </si>
  <si>
    <t>cml24-4</t>
  </si>
  <si>
    <t>Control</t>
  </si>
  <si>
    <t>FLG22</t>
  </si>
  <si>
    <t>GLR3.4-2</t>
  </si>
  <si>
    <t>day3_cropped_plate_r___002_004 copy_Plant_7_404.jpg</t>
  </si>
  <si>
    <t>FLS2-101</t>
  </si>
  <si>
    <t xml:space="preserve">GLR3.4-1 </t>
  </si>
  <si>
    <t>day3_cropped_plate_r___002_004 copy_Plant_5_396.jpg</t>
  </si>
  <si>
    <t>GL3.4-2</t>
  </si>
  <si>
    <t>day3_cropped_plate_r___002_004 copy_Plant_2_392.jpg</t>
  </si>
  <si>
    <t>GLR3.3-1</t>
  </si>
  <si>
    <t>Pathogen</t>
  </si>
  <si>
    <t>GLR3.4-1</t>
  </si>
  <si>
    <t>day3_cropped_plate_r___002_004 copy_Plant_1_519.jpg</t>
  </si>
  <si>
    <t>Col-0</t>
  </si>
  <si>
    <t>day2_cropped_plate_r___004_003 copy_Plant_9_409.jpg</t>
  </si>
  <si>
    <t>day2_cropped_plate_r___004_003 copy_Plant_7_405.jpg</t>
  </si>
  <si>
    <t>day2_cropped_plate_r___004_003 copy_Plant_5_397.jpg</t>
  </si>
  <si>
    <t>day2_cropped_plate_r___004_003 copy_Plant_2_393.jpg</t>
  </si>
  <si>
    <t>day2_cropped_plate_r___004_003 copy_Plant_1_520.jpg</t>
  </si>
  <si>
    <t>day1_cropped_plate_r___005_002 copy_Plant_9_410.jpg</t>
  </si>
  <si>
    <t>day1_cropped_plate_r___005_002 copy_Plant_7_406.jpg</t>
  </si>
  <si>
    <t>day1_cropped_plate_r___005_002 copy_Plant_5_398.jpg</t>
  </si>
  <si>
    <t>day1_cropped_plate_r___005_002 copy_Plant_2_394.jpg</t>
  </si>
  <si>
    <t>day1_cropped_plate_r___005_002 copy_Plant_1_521.jpg</t>
  </si>
  <si>
    <t>day0_cropped_plate_r___003_001 copy_Plant_9_411.jpg</t>
  </si>
  <si>
    <t>day0_cropped_plate_r___003_001 copy_Plant_7_407.jpg</t>
  </si>
  <si>
    <t>GLR3.3-2</t>
  </si>
  <si>
    <t>day0_cropped_plate_r___003_001 copy_Plant_5_399.jpg</t>
  </si>
  <si>
    <t>day0_cropped_plate_r___003_001 copy_Plant_2_395.jpg</t>
  </si>
  <si>
    <t>day0_cropped_plate_r___003_001 copy_Plant_1_522.jpg</t>
  </si>
  <si>
    <t>day3_pathogen_plate_o__001 copy_Plant_9_336.jpg</t>
  </si>
  <si>
    <t>day3_pathogen_plate_o__001 copy_Plant_8_324.jpg</t>
  </si>
  <si>
    <t>cml24-2</t>
  </si>
  <si>
    <t>day3_pathogen_plate_o__001 copy_Plant_7_328.jpg</t>
  </si>
  <si>
    <t>day3_pathogen_plate_o__001 copy_Plant_5_352.jpg</t>
  </si>
  <si>
    <t>day3_pathogen_plate_o__001 copy_Plant_4_332.jpg</t>
  </si>
  <si>
    <t>day3_pathogen_plate_o__001 copy_Plant_3_344.jpg</t>
  </si>
  <si>
    <t>day3_pathogen_plate_o__001 copy_Plant_2_340.jpg</t>
  </si>
  <si>
    <t>day3_pathogen_plate_o__001 copy_Plant_1_348.jpg</t>
  </si>
  <si>
    <t>day3_pathogen_plate_j__002 copy_Plant_9_232.jpg</t>
  </si>
  <si>
    <t>day3_pathogen_plate_j__002 copy_Plant_8_236.jpg</t>
  </si>
  <si>
    <t>day3_pathogen_plate_j__002 copy_Plant_7_240.jpg</t>
  </si>
  <si>
    <t>day3_pathogen_plate_j__002 copy_Plant_5_244.jpg</t>
  </si>
  <si>
    <t>day3_pathogen_plate_j__002 copy_Plant_4_248.jpg</t>
  </si>
  <si>
    <t>day3_pathogen_plate_j__002 copy_Plant_3_252.jpg</t>
  </si>
  <si>
    <t>day3_pathogen_plate_j__002 copy_Plant_2_256.jpg</t>
  </si>
  <si>
    <t>day3_pathogen_plate_j__002 copy_Plant_1_260.jpg</t>
  </si>
  <si>
    <t>day3_pathogen_plate_i__003 copy_Plant_9_024.jpg</t>
  </si>
  <si>
    <t>day3_pathogen_plate_i__003 copy_Plant_8_020.jpg</t>
  </si>
  <si>
    <t>day3_pathogen_plate_i__003 copy_Plant_7_028.jpg</t>
  </si>
  <si>
    <t>day3_pathogen_plate_i__003 copy_Plant_5_012.jpg</t>
  </si>
  <si>
    <t>day3_pathogen_plate_i__003 copy_Plant_4_016.jpg</t>
  </si>
  <si>
    <t>day3_pathogen_plate_i__003 copy_Plant_3_036.jpg</t>
  </si>
  <si>
    <t>day3_pathogen_plate_i__003 copy_Plant_2_032.jpg</t>
  </si>
  <si>
    <t>day3_pathogen_plate_i__003 copy_Plant_1_040.jpg</t>
  </si>
  <si>
    <t>day3_pathogen_plate_h__001 copy_Plant_9_228.jpg</t>
  </si>
  <si>
    <t>day3_pathogen_plate_h__001 copy_Plant_8_220.jpg</t>
  </si>
  <si>
    <t>day3_pathogen_plate_h__001 copy_Plant_7_224.jpg</t>
  </si>
  <si>
    <t>day3_pathogen_plate_h__001 copy_Plant_5_200.jpg</t>
  </si>
  <si>
    <t>day3_pathogen_plate_h__001 copy_Plant_4_204.jpg</t>
  </si>
  <si>
    <t>day3_pathogen_plate_h__001 copy_Plant_3_216.jpg</t>
  </si>
  <si>
    <t>day3_pathogen_plate_h__001 copy_Plant_2_208.jpg</t>
  </si>
  <si>
    <t>day3_pathogen_plate_h__001 copy_Plant_1_212.jpg</t>
  </si>
  <si>
    <t>day3_pathogen_plate_b__004 copy_Plant_9_488.jpg</t>
  </si>
  <si>
    <t>day3_pathogen_plate_b__004 copy_Plant_7_492.jpg</t>
  </si>
  <si>
    <t>day3_pathogen_plate_b__004 copy_Plant_5_512.jpg</t>
  </si>
  <si>
    <t>day3_pathogen_plate_b__004 copy_Plant_4_073.jpg</t>
  </si>
  <si>
    <t>day3_pathogen_plate_b__004 copy_Plant_3_496.jpg</t>
  </si>
  <si>
    <t>day3_pathogen_plate_b__004 copy_Plant_2_500.jpg</t>
  </si>
  <si>
    <t>day3_pathogen_plate_b__004 copy_Plant_1_504.jpg</t>
  </si>
  <si>
    <t>day3_flg22_plate_t__022 copy_Plant_9_469.jpg</t>
  </si>
  <si>
    <t>day3_flg22_plate_t__022 copy_Plant_8_453.jpg</t>
  </si>
  <si>
    <t>day3_flg22_plate_t__022 copy_Plant_7_465.jpg</t>
  </si>
  <si>
    <t>day3_flg22_plate_t__022 copy_Plant_5_461.jpg</t>
  </si>
  <si>
    <t>day3_flg22_plate_t__022 copy_Plant_4_481.jpg</t>
  </si>
  <si>
    <t>day3_flg22_plate_t__022 copy_Plant_3_473.jpg</t>
  </si>
  <si>
    <t>day3_flg22_plate_t__022 copy_Plant_2_477.jpg</t>
  </si>
  <si>
    <t>day3_flg22_plate_t__022 copy_Plant_1_457.jpg</t>
  </si>
  <si>
    <t>day3_flg22_plate_s__014 copy_Plant_9_441.jpg</t>
  </si>
  <si>
    <t>day3_flg22_plate_s__014 copy_Plant_8_433.jpg</t>
  </si>
  <si>
    <t>day3_flg22_plate_s__014 copy_Plant_5_449.jpg</t>
  </si>
  <si>
    <t>day3_flg22_plate_s__014 copy_Plant_4_445.jpg</t>
  </si>
  <si>
    <t>day3_flg22_plate_s__014 copy_Plant_3_429.jpg</t>
  </si>
  <si>
    <t>day3_flg22_plate_s__014 copy_Plant_2_437.jpg</t>
  </si>
  <si>
    <t>day3_flg22_plate_s__014 copy_Plant_1_421.jpg</t>
  </si>
  <si>
    <t>day3_flg22_plate_l__003 copy_Plant_9_308.jpg</t>
  </si>
  <si>
    <t>day3_flg22_plate_l__003 copy_Plant_8_296.jpg</t>
  </si>
  <si>
    <t>day3_flg22_plate_l__003 copy_Plant_7_316.jpg</t>
  </si>
  <si>
    <t>day3_flg22_plate_l__003 copy_Plant_5_312.jpg</t>
  </si>
  <si>
    <t>day3_flg22_plate_l__003 copy_Plant_4_300.jpg</t>
  </si>
  <si>
    <t>day3_flg22_plate_l__003 copy_Plant_3_320.jpg</t>
  </si>
  <si>
    <t>day3_flg22_plate_l__003 copy_Plant_2_304.jpg</t>
  </si>
  <si>
    <t>day3_flg22_plate_l__003 copy_Plant_1_292.jpg</t>
  </si>
  <si>
    <t>day3_flg22_plate_k__010 copy_Plant_9_268.jpg</t>
  </si>
  <si>
    <t>day3_flg22_plate_k__010 copy_Plant_7_264.jpg</t>
  </si>
  <si>
    <t>day3_flg22_plate_k__005 copy_Plant_5_272.jpg</t>
  </si>
  <si>
    <t>day3_flg22_plate_k__005 copy_Plant_4_276.jpg</t>
  </si>
  <si>
    <t>day3_flg22_plate_k__005 copy_Plant_3_288.jpg</t>
  </si>
  <si>
    <t>day3_flg22_plate_k__005 copy_Plant_2_284.jpg</t>
  </si>
  <si>
    <t>day3_flg22_plate_k__005 copy_Plant_1_280.jpg</t>
  </si>
  <si>
    <t>day3_flg22_plate_a2__004_Plant_5_487.jpg</t>
  </si>
  <si>
    <t>day3_flg22_plate_a2__004_Plant_2_485.jpg</t>
  </si>
  <si>
    <t>day3_flg22_plate_a2__004 copy_Plant_9_069.jpg</t>
  </si>
  <si>
    <t>day3_flg22_plate_a2__004 copy_Plant_8_065.jpg</t>
  </si>
  <si>
    <t>day3_flg22_plate_a2__004 copy_Plant_7_061.jpg</t>
  </si>
  <si>
    <t>day3_flg22_plate_a2__004 copy_Plant_4_053.jpg</t>
  </si>
  <si>
    <t>day3_flg22_plate_a2__004 copy_Plant_3_049.jpg</t>
  </si>
  <si>
    <t>day3_flg22_plate_a2__004 copy_Plant_1_041.jpg</t>
  </si>
  <si>
    <t>day3_cropped_plate r__002_004 copy_Plant_8_412.jpg</t>
  </si>
  <si>
    <t>day3_cropped_plate r__002_004 copy_Plant_4_417.jpg</t>
  </si>
  <si>
    <t>day3_cropped_plate r__002_004 copy_Plant_3_400.jpg</t>
  </si>
  <si>
    <t>day3_control_plate_q__001 copy_Plant_9_388.jpg</t>
  </si>
  <si>
    <t>day3_control_plate_q__001 copy_Plant_9_384.jpg</t>
  </si>
  <si>
    <t>day3_control_plate_q__001 copy_Plant_8_364.jpg</t>
  </si>
  <si>
    <t>day3_control_plate_q__001 copy_Plant_7_356.jpg</t>
  </si>
  <si>
    <t>day3_control_plate_q__001 copy_Plant_5_360.jpg</t>
  </si>
  <si>
    <t>day3_control_plate_q__001 copy_Plant_4_380.jpg</t>
  </si>
  <si>
    <t>day3_control_plate_q__001 copy_Plant_3_368.jpg</t>
  </si>
  <si>
    <t>day3_control_plate_q__001 copy_Plant_2_372.jpg</t>
  </si>
  <si>
    <t>day3_control_plate_q__001 copy_Plant_1_376.jpg</t>
  </si>
  <si>
    <t>day3_control_plate_g__002 copy_Plant_9_192.jpg</t>
  </si>
  <si>
    <t>day3_control_plate_g__002 copy_Plant_8_188.jpg</t>
  </si>
  <si>
    <t>day3_control_plate_g__002 copy_Plant_7_196.jpg</t>
  </si>
  <si>
    <t>day3_control_plate_g__002 copy_Plant_5_180.jpg</t>
  </si>
  <si>
    <t>day3_control_plate_g__002 copy_Plant_4_184.jpg</t>
  </si>
  <si>
    <t>day3_control_plate_g__002 copy_Plant_3_172.jpg</t>
  </si>
  <si>
    <t>day3_control_plate_g__002 copy_Plant_2_168.jpg</t>
  </si>
  <si>
    <t>day3_control_plate_g__002 copy_Plant_1_176.jpg</t>
  </si>
  <si>
    <t>day3_control_plate_f__006 copy_Plant_9_152.jpg</t>
  </si>
  <si>
    <t>day3_control_plate_f__006 copy_Plant_8_141.jpg</t>
  </si>
  <si>
    <t>day3_control_plate_f__006 copy_Plant_7_147.jpg</t>
  </si>
  <si>
    <t>day3_control_plate_f__006 copy_Plant_5_133.jpg</t>
  </si>
  <si>
    <t>day3_control_plate_f__006 copy_Plant_4_137.jpg</t>
  </si>
  <si>
    <t>day3_control_plate_f__006 copy_Plant_3_164.jpg</t>
  </si>
  <si>
    <t>day3_control_plate_f__006 copy_Plant_2_156.jpg</t>
  </si>
  <si>
    <t>day3_control_plate_f__006 copy_Plant_1_160.jpg</t>
  </si>
  <si>
    <t>day3_control_plate_d__002 copy_Plant_9_129.jpg</t>
  </si>
  <si>
    <t>day3_control_plate_d__002 copy_Plant_8_121.jpg</t>
  </si>
  <si>
    <t>day3_control_plate_d__002 copy_Plant_7_517.jpg</t>
  </si>
  <si>
    <t>day3_control_plate_d__002 copy_Plant_5_113.jpg</t>
  </si>
  <si>
    <t>day3_control_plate_d__002 copy_Plant_4_516.jpg</t>
  </si>
  <si>
    <t>day3_control_plate_d__002 copy_Plant_3_109.jpg</t>
  </si>
  <si>
    <t>day3_control_plate_d__002 copy_Plant_2_101.jpg</t>
  </si>
  <si>
    <t>day3_control_plate_d__002 copy_Plant_1_105.jpg</t>
  </si>
  <si>
    <t>day2_pathogen_plate_o__013 copy_Plant_9_337.jpg</t>
  </si>
  <si>
    <t>day2_pathogen_plate_o__013 copy_Plant_8_325.jpg</t>
  </si>
  <si>
    <t>day2_pathogen_plate_o__013 copy_Plant_7_329.jpg</t>
  </si>
  <si>
    <t>day2_pathogen_plate_o__013 copy_Plant_5_353.jpg</t>
  </si>
  <si>
    <t>day2_pathogen_plate_o__013 copy_Plant_4_333.jpg</t>
  </si>
  <si>
    <t>day2_pathogen_plate_o__013 copy_Plant_3_345.jpg</t>
  </si>
  <si>
    <t>day2_pathogen_plate_o__013 copy_Plant_2_341.jpg</t>
  </si>
  <si>
    <t>day2_pathogen_plate_o__013 copy_Plant_1_349.jpg</t>
  </si>
  <si>
    <t>day2_pathogen_plate_j__018 copy_Plant_9_233.jpg</t>
  </si>
  <si>
    <t>day2_pathogen_plate_j__018 copy_Plant_8_237.jpg</t>
  </si>
  <si>
    <t>day2_pathogen_plate_j__018 copy_Plant_7_241.jpg</t>
  </si>
  <si>
    <t>day2_pathogen_plate_j__018 copy_Plant_5_245.jpg</t>
  </si>
  <si>
    <t>day2_pathogen_plate_j__018 copy_Plant_4_249.jpg</t>
  </si>
  <si>
    <t>day2_pathogen_plate_j__018 copy_Plant_3_253.jpg</t>
  </si>
  <si>
    <t>day2_pathogen_plate_j__018 copy_Plant_2_257.jpg</t>
  </si>
  <si>
    <t>day2_pathogen_plate_j__018 copy_Plant_1_261.jpg</t>
  </si>
  <si>
    <t>day2_pathogen_plate_i__021 copy_Plant_9_023.jpg</t>
  </si>
  <si>
    <t>day2_pathogen_plate_i__021 copy_Plant_8_019.jpg</t>
  </si>
  <si>
    <t>day2_pathogen_plate_i__021 copy_Plant_7_027.jpg</t>
  </si>
  <si>
    <t>day2_pathogen_plate_i__021 copy_Plant_5_011.jpg</t>
  </si>
  <si>
    <t>day2_pathogen_plate_i__021 copy_Plant_4_015.jpg</t>
  </si>
  <si>
    <t>day2_pathogen_plate_i__021 copy_Plant_3_035.jpg</t>
  </si>
  <si>
    <t>day2_pathogen_plate_i__021 copy_Plant_2_031.jpg</t>
  </si>
  <si>
    <t>day2_pathogen_plate_i__021 copy_Plant_1_039.jpg</t>
  </si>
  <si>
    <t>day2_pathogen_plate_h__017 copy_Plant_9_229.jpg</t>
  </si>
  <si>
    <t>day2_pathogen_plate_h__017 copy_Plant_8_221.jpg</t>
  </si>
  <si>
    <t>day2_pathogen_plate_h__017 copy_Plant_7_225.jpg</t>
  </si>
  <si>
    <t>day2_pathogen_plate_h__017 copy_Plant_5_201.jpg</t>
  </si>
  <si>
    <t>day2_pathogen_plate_h__017 copy_Plant_4_205.jpg</t>
  </si>
  <si>
    <t>day2_pathogen_plate_h__017 copy_Plant_3_217.jpg</t>
  </si>
  <si>
    <t>day2_pathogen_plate_h__017 copy_Plant_2_209.jpg</t>
  </si>
  <si>
    <t>day2_pathogen_plate_h__017 copy_Plant_1_213.jpg</t>
  </si>
  <si>
    <t>day2_pathogen_plate_b__009 copy_Plant_9_489.jpg</t>
  </si>
  <si>
    <t>day2_pathogen_plate_b__009 copy_Plant_7_493.jpg</t>
  </si>
  <si>
    <t>day2_pathogen_plate_b__009 copy_Plant_5_078.jpg</t>
  </si>
  <si>
    <t>day2_pathogen_plate_b__009 copy_Plant_4_074.jpg</t>
  </si>
  <si>
    <t>day2_pathogen_plate_b__009 copy_Plant_3_497.jpg</t>
  </si>
  <si>
    <t>day2_pathogen_plate_b__009 copy_Plant_2_501.jpg</t>
  </si>
  <si>
    <t>day2_pathogen_plate_b__009 copy_Plant_1_505.jpg</t>
  </si>
  <si>
    <t>day2_flg22_plate_t__016 copy_Plant_9_470.jpg</t>
  </si>
  <si>
    <t>day2_flg22_plate_t__016 copy_Plant_8_454.jpg</t>
  </si>
  <si>
    <t>day2_flg22_plate_t__016 copy_Plant_7_466.jpg</t>
  </si>
  <si>
    <t>day2_flg22_plate_t__016 copy_Plant_5_462.jpg</t>
  </si>
  <si>
    <t>day2_flg22_plate_t__016 copy_Plant_4_482.jpg</t>
  </si>
  <si>
    <t>day2_flg22_plate_t__016 copy_Plant_3_474.jpg</t>
  </si>
  <si>
    <t>day2_flg22_plate_t__016 copy_Plant_2_478.jpg</t>
  </si>
  <si>
    <t>day2_flg22_plate_t__016 copy_Plant_1_458.jpg</t>
  </si>
  <si>
    <t>day2_flg22_plate_s__001 copy_Plant_9_442.jpg</t>
  </si>
  <si>
    <t>day2_flg22_plate_s__001 copy_Plant_8_434.jpg</t>
  </si>
  <si>
    <t>day2_flg22_plate_s__001 copy_Plant_5_450.jpg</t>
  </si>
  <si>
    <t>day2_flg22_plate_s__001 copy_Plant_4_446.jpg</t>
  </si>
  <si>
    <t>day2_flg22_plate_s__001 copy_Plant_3_430.jpg</t>
  </si>
  <si>
    <t>day2_flg22_plate_s__001 copy_Plant_2_438.jpg</t>
  </si>
  <si>
    <t>day2_flg22_plate_s__001 copy_Plant_1_422.jpg</t>
  </si>
  <si>
    <t>day2_flg22_plate_l__016 copy_Plant_1_295.jpg</t>
  </si>
  <si>
    <t>day2_flg22_plate_l__012 copy_Plant_9_309.jpg</t>
  </si>
  <si>
    <t>day2_flg22_plate_l__012 copy_Plant_8_297.jpg</t>
  </si>
  <si>
    <t>day2_flg22_plate_l__012 copy_Plant_7_317.jpg</t>
  </si>
  <si>
    <t>day2_flg22_plate_l__012 copy_Plant_5_313.jpg</t>
  </si>
  <si>
    <t>day2_flg22_plate_l__012 copy_Plant_4_301.jpg</t>
  </si>
  <si>
    <t>day2_flg22_plate_l__012 copy_Plant_3_321.jpg</t>
  </si>
  <si>
    <t>day2_flg22_plate_l__012 copy_Plant_2_305.jpg</t>
  </si>
  <si>
    <t>day2_flg22_plate_k__010 copy_Plant_5_273.jpg</t>
  </si>
  <si>
    <t>day2_flg22_plate_k__010 copy_Plant_4_277.jpg</t>
  </si>
  <si>
    <t>day2_flg22_plate_k__010 copy_Plant_3_289.jpg</t>
  </si>
  <si>
    <t>day2_flg22_plate_k__010 copy_Plant_2_285.jpg</t>
  </si>
  <si>
    <t>day2_flg22_plate_k__010 copy_Plant_1_281.jpg</t>
  </si>
  <si>
    <t>day2_flg22_plate_k__005 copy_Plant_9_269.jpg</t>
  </si>
  <si>
    <t>day2_flg22_plate_k__005 copy_Plant_7_265.jpg</t>
  </si>
  <si>
    <t>day2_flg22_plate_a2__022_Plant_2_486.jpg</t>
  </si>
  <si>
    <t>day2_flg22_plate_a2__022 copy_Plant_9_070.jpg</t>
  </si>
  <si>
    <t>day2_flg22_plate_a2__022 copy_Plant_8_066.jpg</t>
  </si>
  <si>
    <t>day2_flg22_plate_a2__022 copy_Plant_7_062.jpg</t>
  </si>
  <si>
    <t>day2_flg22_plate_a2__022 copy_Plant_5_058.jpg</t>
  </si>
  <si>
    <t>day2_flg22_plate_a2__022 copy_Plant_4_054.jpg</t>
  </si>
  <si>
    <t>day2_flg22_plate_a2__022 copy_Plant_3_050.jpg</t>
  </si>
  <si>
    <t>day2_flg22_plate_a2__022 copy_Plant_1_042.jpg</t>
  </si>
  <si>
    <t>day2_cropped_plate r__004_003 copy_Plant_8_413.jpg</t>
  </si>
  <si>
    <t>day2_cropped_plate r__004_003 copy_Plant_4_418.jpg</t>
  </si>
  <si>
    <t>day2_cropped_plate r__004_003 copy_Plant_3_401.jpg</t>
  </si>
  <si>
    <t>day2_control_plate_q__020 copy_Plant_9_389.jpg</t>
  </si>
  <si>
    <t>day2_control_plate_q__020 copy_Plant_9_385.jpg</t>
  </si>
  <si>
    <t>day2_control_plate_q__020 copy_Plant_8_365.jpg</t>
  </si>
  <si>
    <t>day2_control_plate_q__020 copy_Plant_7_357.jpg</t>
  </si>
  <si>
    <t>day2_control_plate_q__020 copy_Plant_5_361.jpg</t>
  </si>
  <si>
    <t>day2_control_plate_q__020 copy_Plant_4_381.jpg</t>
  </si>
  <si>
    <t>day2_control_plate_q__020 copy_Plant_3_369.jpg</t>
  </si>
  <si>
    <t>day2_control_plate_q__020 copy_Plant_2_373.jpg</t>
  </si>
  <si>
    <t>day2_control_plate_q__020 copy_Plant_1_377.jpg</t>
  </si>
  <si>
    <t>day2_control_plate_g__019 copy_Plant_9_193.jpg</t>
  </si>
  <si>
    <t>day2_control_plate_g__019 copy_Plant_8_189.jpg</t>
  </si>
  <si>
    <t>day2_control_plate_g__019 copy_Plant_7_197.jpg</t>
  </si>
  <si>
    <t>day2_control_plate_g__019 copy_Plant_5_181.jpg</t>
  </si>
  <si>
    <t>day2_control_plate_g__019 copy_Plant_4_185.jpg</t>
  </si>
  <si>
    <t>day2_control_plate_g__019 copy_Plant_3_173.jpg</t>
  </si>
  <si>
    <t>day2_control_plate_g__019 copy_Plant_2_169.jpg</t>
  </si>
  <si>
    <t>day2_control_plate_g__019 copy_Plant_1_177.jpg</t>
  </si>
  <si>
    <t>day2_control_plate_f__011 copy_Plant_9_153.jpg</t>
  </si>
  <si>
    <t>day2_control_plate_f__011 copy_Plant_8_142.jpg</t>
  </si>
  <si>
    <t>day2_control_plate_f__011 copy_Plant_7_148.jpg</t>
  </si>
  <si>
    <t>day2_control_plate_f__011 copy_Plant_5_134.jpg</t>
  </si>
  <si>
    <t>day2_control_plate_f__011 copy_Plant_4_138.jpg</t>
  </si>
  <si>
    <t>day2_control_plate_f__011 copy_Plant_3_165.jpg</t>
  </si>
  <si>
    <t>day2_control_plate_f__011 copy_Plant_2_157.jpg</t>
  </si>
  <si>
    <t>day2_control_plate_f__011 copy_Plant_1_161.jpg</t>
  </si>
  <si>
    <t>day2_control_plate_d__015 copy_Plant_9_130.jpg</t>
  </si>
  <si>
    <t>day2_control_plate_d__015 copy_Plant_8_122.jpg</t>
  </si>
  <si>
    <t>day2_control_plate_d__015 copy_Plant_7_518.jpg</t>
  </si>
  <si>
    <t>day2_control_plate_d__015 copy_Plant_5_114.jpg</t>
  </si>
  <si>
    <t>day2_control_plate_d__015 copy_Plant_4_118.jpg</t>
  </si>
  <si>
    <t>day2_control_plate_d__015 copy_Plant_3_110.jpg</t>
  </si>
  <si>
    <t>day2_control_plate_d__015 copy_Plant_2_102.jpg</t>
  </si>
  <si>
    <t>day2_control_plate_d__015 copy_Plant_1_106.jpg</t>
  </si>
  <si>
    <t>day1_plate r_cropped__005_002 copy_Plant_3_402.jpg</t>
  </si>
  <si>
    <t>day1_pathogen_plate_o__029 copy_Plant_9_338.jpg</t>
  </si>
  <si>
    <t>day1_pathogen_plate_o__029 copy_Plant_8_326.jpg</t>
  </si>
  <si>
    <t>day1_pathogen_plate_o__029 copy_Plant_7_330.jpg</t>
  </si>
  <si>
    <t>day1_pathogen_plate_o__029 copy_Plant_5_354.jpg</t>
  </si>
  <si>
    <t>day1_pathogen_plate_o__029 copy_Plant_4_334.jpg</t>
  </si>
  <si>
    <t>day1_pathogen_plate_o__029 copy_Plant_3_346.jpg</t>
  </si>
  <si>
    <t>day1_pathogen_plate_o__029 copy_Plant_2_342.jpg</t>
  </si>
  <si>
    <t>day1_pathogen_plate_o__029 copy_Plant_1_350.jpg</t>
  </si>
  <si>
    <t>day1_pathogen_plate_j__031 copy_Plant_9_234.jpg</t>
  </si>
  <si>
    <t>day1_pathogen_plate_j__031 copy_Plant_8_238.jpg</t>
  </si>
  <si>
    <t>day1_pathogen_plate_j__031 copy_Plant_7_242.jpg</t>
  </si>
  <si>
    <t>day1_pathogen_plate_j__031 copy_Plant_5_246.jpg</t>
  </si>
  <si>
    <t>day1_pathogen_plate_j__031 copy_Plant_4_250.jpg</t>
  </si>
  <si>
    <t>day1_pathogen_plate_j__031 copy_Plant_3_254.jpg</t>
  </si>
  <si>
    <t>day1_pathogen_plate_j__031 copy_Plant_2_258.jpg</t>
  </si>
  <si>
    <t>day1_pathogen_plate_j__031 copy_Plant_1_262.jpg</t>
  </si>
  <si>
    <t>day1_pathogen_plate_i__033 copy_Plant_9_022.jpg</t>
  </si>
  <si>
    <t>day1_pathogen_plate_i__033 copy_Plant_8_018.jpg</t>
  </si>
  <si>
    <t>day1_pathogen_plate_i__033 copy_Plant_7_026.jpg</t>
  </si>
  <si>
    <t>day1_pathogen_plate_i__033 copy_Plant_5_010.jpg</t>
  </si>
  <si>
    <t>day1_pathogen_plate_i__033 copy_Plant_4_014.jpg</t>
  </si>
  <si>
    <t>day1_pathogen_plate_i__033 copy_Plant_3_034.jpg</t>
  </si>
  <si>
    <t>day1_pathogen_plate_i__033 copy_Plant_2_030.jpg</t>
  </si>
  <si>
    <t>day1_pathogen_plate_i__033 copy_Plant_1_038.jpg</t>
  </si>
  <si>
    <t>day1_pathogen_plate_h__034 copy_Plant_9_230.jpg</t>
  </si>
  <si>
    <t>day1_pathogen_plate_h__034 copy_Plant_8_222.jpg</t>
  </si>
  <si>
    <t>day1_pathogen_plate_h__034 copy_Plant_7_226.jpg</t>
  </si>
  <si>
    <t>day1_pathogen_plate_h__034 copy_Plant_5_202.jpg</t>
  </si>
  <si>
    <t>day1_pathogen_plate_h__034 copy_Plant_4_206.jpg</t>
  </si>
  <si>
    <t>day1_pathogen_plate_h__034 copy_Plant_3_218.jpg</t>
  </si>
  <si>
    <t>day1_pathogen_plate_h__034 copy_Plant_2_210.jpg</t>
  </si>
  <si>
    <t>day1_pathogen_plate_h__034 copy_Plant_1_214.jpg</t>
  </si>
  <si>
    <t>day1_pathogen_plate_b__024 copy_Plant_9_490.jpg</t>
  </si>
  <si>
    <t>day1_pathogen_plate_b__024 copy_Plant_7_494.jpg</t>
  </si>
  <si>
    <t>day1_pathogen_plate_b__024 copy_Plant_5_514.jpg</t>
  </si>
  <si>
    <t>day1_pathogen_plate_b__024 copy_Plant_4_075.jpg</t>
  </si>
  <si>
    <t>day1_pathogen_plate_b__024 copy_Plant_3_498.jpg</t>
  </si>
  <si>
    <t>day1_pathogen_plate_b__024 copy_Plant_2_502.jpg</t>
  </si>
  <si>
    <t>day1_pathogen_plate_b__024 copy_Plant_1_506.jpg</t>
  </si>
  <si>
    <t>day1_flg22_plate_t__030 copy_Plant_9_471.jpg</t>
  </si>
  <si>
    <t>day1_flg22_plate_t__030 copy_Plant_8_455.jpg</t>
  </si>
  <si>
    <t>day1_flg22_plate_t__030 copy_Plant_7_467.jpg</t>
  </si>
  <si>
    <t>day1_flg22_plate_t__030 copy_Plant_5_463.jpg</t>
  </si>
  <si>
    <t>day1_flg22_plate_t__030 copy_Plant_4_483.jpg</t>
  </si>
  <si>
    <t>day1_flg22_plate_t__030 copy_Plant_3_475.jpg</t>
  </si>
  <si>
    <t>day1_flg22_plate_t__030 copy_Plant_2_479.jpg</t>
  </si>
  <si>
    <t>day1_flg22_plate_t__030 copy_Plant_1_459.jpg</t>
  </si>
  <si>
    <t>day1_flg22_plate_s__027 copy_Plant_9_443.jpg</t>
  </si>
  <si>
    <t>day1_flg22_plate_s__027 copy_Plant_8_435.jpg</t>
  </si>
  <si>
    <t>day1_flg22_plate_s__027 copy_Plant_5_451.jpg</t>
  </si>
  <si>
    <t>day1_flg22_plate_s__027 copy_Plant_5_451 - Copy.jpg</t>
  </si>
  <si>
    <t>day1_flg22_plate_s__027 copy_Plant_4_447.jpg</t>
  </si>
  <si>
    <t>day1_flg22_plate_s__027 copy_Plant_3_431.jpg</t>
  </si>
  <si>
    <t>day1_flg22_plate_s__027 copy_Plant_2_439.jpg</t>
  </si>
  <si>
    <t>day1_flg22_plate_s__027 copy_Plant_1_423.jpg</t>
  </si>
  <si>
    <t>day1_flg22_plate_l__025 copy_Plant_9_310.jpg</t>
  </si>
  <si>
    <t>day1_flg22_plate_l__025 copy_Plant_8_298.jpg</t>
  </si>
  <si>
    <t>day1_flg22_plate_l__025 copy_Plant_7_318.jpg</t>
  </si>
  <si>
    <t>day1_flg22_plate_l__025 copy_Plant_5_314.jpg</t>
  </si>
  <si>
    <t>day1_flg22_plate_l__025 copy_Plant_4_302.jpg</t>
  </si>
  <si>
    <t>day1_flg22_plate_l__025 copy_Plant_3_322.jpg</t>
  </si>
  <si>
    <t>day1_flg22_plate_l__025 copy_Plant_2_306.jpg</t>
  </si>
  <si>
    <t>day1_flg22_plate_l__025 copy_Plant_1_294.jpg</t>
  </si>
  <si>
    <t>day1_flg22_plate_k__023 copy_Plant_9_270.jpg</t>
  </si>
  <si>
    <t>day1_flg22_plate_k__023 copy_Plant_7_266.jpg</t>
  </si>
  <si>
    <t>day1_flg22_plate_k__023 copy_Plant_5_274.jpg</t>
  </si>
  <si>
    <t>day1_flg22_plate_k__023 copy_Plant_4_278.jpg</t>
  </si>
  <si>
    <t>day1_flg22_plate_k__023 copy_Plant_3_290.jpg</t>
  </si>
  <si>
    <t>day1_flg22_plate_k__023 copy_Plant_2_286.jpg</t>
  </si>
  <si>
    <t>day1_flg22_plate_k__023 copy_Plant_1_282.jpg</t>
  </si>
  <si>
    <t>day1_flg22_plate_a2__036 copy_Plant_9_071.jpg</t>
  </si>
  <si>
    <t>day1_flg22_plate_a2__036 copy_Plant_8_067.jpg</t>
  </si>
  <si>
    <t>day1_flg22_plate_a2__036 copy_Plant_7_063.jpg</t>
  </si>
  <si>
    <t>day1_flg22_plate_a2__036 copy_Plant_5_059.jpg</t>
  </si>
  <si>
    <t>day1_flg22_plate_a2__036 copy_Plant_4_055.jpg</t>
  </si>
  <si>
    <t>day1_flg22_plate_a2__036 copy_Plant_3_051.jpg</t>
  </si>
  <si>
    <t>day1_flg22_plate_a2__036 copy_Plant_2_047.jpg</t>
  </si>
  <si>
    <t>day1_flg22_plate_a2__036 copy_Plant_1_043.jpg</t>
  </si>
  <si>
    <t>day1_cropped_plate r__005_002 copy_Plant_8_414.jpg</t>
  </si>
  <si>
    <t>day1_cropped_plate r__005_002 copy_Plant_4_419.jpg</t>
  </si>
  <si>
    <t>day1_control_plate_q__035 copy_Plant_9_390.jpg</t>
  </si>
  <si>
    <t>day1_control_plate_q__035 copy_Plant_9_386.jpg</t>
  </si>
  <si>
    <t>day1_control_plate_q__035 copy_Plant_8_366.jpg</t>
  </si>
  <si>
    <t>day1_control_plate_q__035 copy_Plant_7_358.jpg</t>
  </si>
  <si>
    <t>day1_control_plate_q__035 copy_Plant_5_362.jpg</t>
  </si>
  <si>
    <t>day1_control_plate_q__035 copy_Plant_4_382.jpg</t>
  </si>
  <si>
    <t>day1_control_plate_q__035 copy_Plant_3_370.jpg</t>
  </si>
  <si>
    <t>day1_control_plate_q__035 copy_Plant_2_374.jpg</t>
  </si>
  <si>
    <t>day1_control_plate_q__035 copy_Plant_1_378.jpg</t>
  </si>
  <si>
    <t>day1_control_plate_g__032 copy_Plant_9_194.jpg</t>
  </si>
  <si>
    <t>day1_control_plate_g__032 copy_Plant_8_190.jpg</t>
  </si>
  <si>
    <t>day1_control_plate_g__032 copy_Plant_7_198.jpg</t>
  </si>
  <si>
    <t>day1_control_plate_g__032 copy_Plant_5_182.jpg</t>
  </si>
  <si>
    <t>day1_control_plate_g__032 copy_Plant_4_186.jpg</t>
  </si>
  <si>
    <t>day1_control_plate_g__032 copy_Plant_3_174.jpg</t>
  </si>
  <si>
    <t>day1_control_plate_g__032 copy_Plant_2_170.jpg</t>
  </si>
  <si>
    <t>day1_control_plate_g__032 copy_Plant_1_178.jpg</t>
  </si>
  <si>
    <t>day1_control_plate_f__026 copy_Plant_9_154.jpg</t>
  </si>
  <si>
    <t>day1_control_plate_f__026 copy_Plant_8_143.jpg</t>
  </si>
  <si>
    <t>day1_control_plate_f__026 copy_Plant_7_149.jpg</t>
  </si>
  <si>
    <t>day1_control_plate_f__026 copy_Plant_5_135.jpg</t>
  </si>
  <si>
    <t>day1_control_plate_f__026 copy_Plant_4_139.jpg</t>
  </si>
  <si>
    <t>day1_control_plate_f__026 copy_Plant_3_166.jpg</t>
  </si>
  <si>
    <t>day1_control_plate_f__026 copy_Plant_2_158.jpg</t>
  </si>
  <si>
    <t>day1_control_plate_f__026 copy_Plant_1_162.jpg</t>
  </si>
  <si>
    <t>day1_control_plate_d__028 copy_Plant_9_131.jpg</t>
  </si>
  <si>
    <t>day1_control_plate_d__028 copy_Plant_8_123.jpg</t>
  </si>
  <si>
    <t>day1_control_plate_d__028 copy_Plant_7_127.jpg</t>
  </si>
  <si>
    <t>day1_control_plate_d__028 copy_Plant_5_115.jpg</t>
  </si>
  <si>
    <t>day1_control_plate_d__028 copy_Plant_4_119.jpg</t>
  </si>
  <si>
    <t>day1_control_plate_d__028 copy_Plant_3_111.jpg</t>
  </si>
  <si>
    <t>day1_control_plate_d__028 copy_Plant_2_103.jpg</t>
  </si>
  <si>
    <t>day1_control_plate_d__028 copy_Plant_1_107.jpg</t>
  </si>
  <si>
    <t>day0_plate r_cropped__003_001 copy_Plant_4_420.jpg</t>
  </si>
  <si>
    <t>day0_plate r_cropped__003_001 copy_Plant_3_403.jpg</t>
  </si>
  <si>
    <t>day0_pathogen_plate_o_024 copy_Plant_2_343.jpg</t>
  </si>
  <si>
    <t>day0_pathogen_plate_o__024 copy_Plant_8_327.jpg</t>
  </si>
  <si>
    <t>day0_pathogen_plate_o__024 copy_Plant_7_331.jpg</t>
  </si>
  <si>
    <t>day0_pathogen_plate_o__024 copy_Plant_4_335.jpg</t>
  </si>
  <si>
    <t>day0_pathogen_plate_o__024 copy_Plant_3_347.jpg</t>
  </si>
  <si>
    <t>day0_pathogen_plate_o__024 copy_Plant_1_351.jpg</t>
  </si>
  <si>
    <t>day0_pathogen_plate_j__021 copy_Plant_9_235.jpg</t>
  </si>
  <si>
    <t>day0_pathogen_plate_j__021 copy_Plant_8_239.jpg</t>
  </si>
  <si>
    <t>day0_pathogen_plate_j__021 copy_Plant_7_243.jpg</t>
  </si>
  <si>
    <t>day0_pathogen_plate_j__021 copy_Plant_5_247.jpg</t>
  </si>
  <si>
    <t>day0_pathogen_plate_j__021 copy_Plant_4_251.jpg</t>
  </si>
  <si>
    <t>day0_pathogen_plate_j__021 copy_Plant_3_255.jpg</t>
  </si>
  <si>
    <t>day0_pathogen_plate_j__021 copy_Plant_2_259.jpg</t>
  </si>
  <si>
    <t>day0_pathogen_plate_j__021 copy_Plant_1_263.jpg</t>
  </si>
  <si>
    <t>day0_pathogen_plate_i__020 copy_Plant_9_021.jpg</t>
  </si>
  <si>
    <t>day0_pathogen_plate_i__020 copy_Plant_8_017.jpg</t>
  </si>
  <si>
    <t>day0_pathogen_plate_i__020 copy_Plant_7_025.jpg</t>
  </si>
  <si>
    <t>day0_pathogen_plate_i__020 copy_Plant_5_009.jpg</t>
  </si>
  <si>
    <t>day0_pathogen_plate_i__020 copy_Plant_4_013.jpg</t>
  </si>
  <si>
    <t>day0_pathogen_plate_i__020 copy_Plant_3_033.jpg</t>
  </si>
  <si>
    <t>day0_pathogen_plate_i__020 copy_Plant_2_029.jpg</t>
  </si>
  <si>
    <t>day0_pathogen_plate_i__020 copy_Plant_1_037.jpg</t>
  </si>
  <si>
    <t>day0_pathogen_plate_h__019 copy_Plant_9_231.jpg</t>
  </si>
  <si>
    <t>day0_pathogen_plate_h__019 copy_Plant_8_223.jpg</t>
  </si>
  <si>
    <t>day0_pathogen_plate_h__019 copy_Plant_7_227.jpg</t>
  </si>
  <si>
    <t>day0_pathogen_plate_h__019 copy_Plant_5_203.jpg</t>
  </si>
  <si>
    <t>day0_pathogen_plate_h__019 copy_Plant_4_207.jpg</t>
  </si>
  <si>
    <t>day0_pathogen_plate_h__019 copy_Plant_3_219.jpg</t>
  </si>
  <si>
    <t>day0_pathogen_plate_h__019 copy_Plant_2_211.jpg</t>
  </si>
  <si>
    <t>day0_pathogen_plate_h__019 copy_Plant_1_215.jpg</t>
  </si>
  <si>
    <t>day0_pathogen_plate_b__023 copy_Plant_9_491.jpg</t>
  </si>
  <si>
    <t>day0_pathogen_plate_b__023 copy_Plant_7_495.jpg</t>
  </si>
  <si>
    <t>day0_pathogen_plate_b__023 copy_Plant_5_080.jpg</t>
  </si>
  <si>
    <t>day0_pathogen_plate_b__023 copy_Plant_4_076.jpg</t>
  </si>
  <si>
    <t>day0_pathogen_plate_b__023 copy_Plant_3_499.jpg</t>
  </si>
  <si>
    <t>day0_pathogen_plate_b__023 copy_Plant_2_503.jpg</t>
  </si>
  <si>
    <t>day0_pathogen_plate_b__023 copy_Plant_1_507.jpg</t>
  </si>
  <si>
    <t>day0_pathogen_plate_0__024 copy_Plant_9_339.jpg</t>
  </si>
  <si>
    <t>day0_pathogen_plate_0__024 copy_Plant_5_355.jpg</t>
  </si>
  <si>
    <t>day0_flg22_plate_t__015 copy_Plant_9_472.jpg</t>
  </si>
  <si>
    <t>day0_flg22_plate_t__015 copy_Plant_8_456.jpg</t>
  </si>
  <si>
    <t>day0_flg22_plate_t__015 copy_Plant_7_468.jpg</t>
  </si>
  <si>
    <t>day0_flg22_plate_t__015 copy_Plant_5_464.jpg</t>
  </si>
  <si>
    <t>day0_flg22_plate_t__015 copy_Plant_4_484.jpg</t>
  </si>
  <si>
    <t>day0_flg22_plate_t__015 copy_Plant_3_476.jpg</t>
  </si>
  <si>
    <t>day0_flg22_plate_t__015 copy_Plant_2_480.jpg</t>
  </si>
  <si>
    <t>day0_flg22_plate_t__015 copy_Plant_1_460.jpg</t>
  </si>
  <si>
    <t>day0_flg22_plate_s__018 copy_Plant_9_444.jpg</t>
  </si>
  <si>
    <t>day0_flg22_plate_s__018 copy_Plant_8_436.jpg</t>
  </si>
  <si>
    <t>day0_flg22_plate_s__018 copy_Plant_5_452.jpg</t>
  </si>
  <si>
    <t>day0_flg22_plate_s__018 copy_Plant_5_452 - Copy.jpg</t>
  </si>
  <si>
    <t>day0_flg22_plate_s__018 copy_Plant_4_448.jpg</t>
  </si>
  <si>
    <t>day0_flg22_plate_s__018 copy_Plant_3_432.jpg</t>
  </si>
  <si>
    <t>day0_flg22_plate_s__018 copy_Plant_2_440.jpg</t>
  </si>
  <si>
    <t>day0_flg22_plate_s__018 copy_Plant_1_424.jpg</t>
  </si>
  <si>
    <t>day0_flg22_plate_l__016 copy_Plant_9_311.jpg</t>
  </si>
  <si>
    <t>day0_flg22_plate_l__016 copy_Plant_8_299.jpg</t>
  </si>
  <si>
    <t>day0_flg22_plate_l__016 copy_Plant_7_319.jpg</t>
  </si>
  <si>
    <t>day0_flg22_plate_l__016 copy_Plant_5_315.jpg</t>
  </si>
  <si>
    <t>day0_flg22_plate_l__016 copy_Plant_4_303.jpg</t>
  </si>
  <si>
    <t>day0_flg22_plate_l__016 copy_Plant_3_323.jpg</t>
  </si>
  <si>
    <t>day0_flg22_plate_l__016 copy_Plant_2_307.jpg</t>
  </si>
  <si>
    <t>day0_flg22_plate_l__016 copy_Plant_1_295.jpg</t>
  </si>
  <si>
    <t>day0_flg22_plate_k__017 copy_Plant_9_271.jpg</t>
  </si>
  <si>
    <t>day0_flg22_plate_k__017 copy_Plant_7_267.jpg</t>
  </si>
  <si>
    <t>day0_flg22_plate_k__017 copy_Plant_5_275.jpg</t>
  </si>
  <si>
    <t>day0_flg22_plate_k__017 copy_Plant_4_279.jpg</t>
  </si>
  <si>
    <t>day0_flg22_plate_k__017 copy_Plant_3_291.jpg</t>
  </si>
  <si>
    <t>day0_flg22_plate_k__017 copy_Plant_2_287.jpg</t>
  </si>
  <si>
    <t>day0_flg22_plate_k__017 copy_Plant_1_283.jpg</t>
  </si>
  <si>
    <t>day0_flg22_plate_a2__014 copy_Plant_9_072.jpg</t>
  </si>
  <si>
    <t>day0_flg22_plate_a2__014 copy_Plant_8_068.jpg</t>
  </si>
  <si>
    <t>day0_flg22_plate_a2__014 copy_Plant_7_064.jpg</t>
  </si>
  <si>
    <t>day0_flg22_plate_a2__014 copy_Plant_5_060.jpg</t>
  </si>
  <si>
    <t>day0_flg22_plate_a2__014 copy_Plant_4_056.jpg</t>
  </si>
  <si>
    <t>day0_flg22_plate_a2__014 copy_Plant_3_052.jpg</t>
  </si>
  <si>
    <t>day0_flg22_plate_a2__014 copy_Plant_2_048.jpg</t>
  </si>
  <si>
    <t>day0_flg22_plate_a2__014 copy_Plant_1_044.jpg</t>
  </si>
  <si>
    <t>day0_cropped_plate r__003_001 copy_Plant_8_415.jpg</t>
  </si>
  <si>
    <t>day0_control_plate_q__009 copy_Plant_9_391.jpg</t>
  </si>
  <si>
    <t>day0_control_plate_q__009 copy_Plant_9_387.jpg</t>
  </si>
  <si>
    <t>day0_control_plate_q__009 copy_Plant_8_367.jpg</t>
  </si>
  <si>
    <t>day0_control_plate_q__009 copy_Plant_7_359.jpg</t>
  </si>
  <si>
    <t>day0_control_plate_q__009 copy_Plant_5_363.jpg</t>
  </si>
  <si>
    <t>day0_control_plate_q__009 copy_Plant_4_383.jpg</t>
  </si>
  <si>
    <t>day0_control_plate_q__009 copy_Plant_3_371.jpg</t>
  </si>
  <si>
    <t>day0_control_plate_q__009 copy_Plant_2_375.jpg</t>
  </si>
  <si>
    <t>day0_control_plate_q__009 copy_Plant_1_379.jpg</t>
  </si>
  <si>
    <t>day0_control_plate_g__010 copy_Plant_9_195.jpg</t>
  </si>
  <si>
    <t>day0_control_plate_g__010 copy_Plant_8_191.jpg</t>
  </si>
  <si>
    <t>day0_control_plate_g__010 copy_Plant_7_199.jpg</t>
  </si>
  <si>
    <t>day0_control_plate_g__010 copy_Plant_5_183.jpg</t>
  </si>
  <si>
    <t>day0_control_plate_g__010 copy_Plant_4_187.jpg</t>
  </si>
  <si>
    <t>day0_control_plate_g__010 copy_Plant_3_175.jpg</t>
  </si>
  <si>
    <t>day0_control_plate_g__010 copy_Plant_2_171.jpg</t>
  </si>
  <si>
    <t>day0_control_plate_g__010 copy_Plant_1_179.jpg</t>
  </si>
  <si>
    <t>day0_control_plate_f__013 copy_Plant_9_155.jpg</t>
  </si>
  <si>
    <t>day0_control_plate_f__013 copy_Plant_8_144.jpg</t>
  </si>
  <si>
    <t>day0_control_plate_f__013 copy_Plant_7_150.jpg</t>
  </si>
  <si>
    <t>day0_control_plate_f__013 copy_Plant_5_136.jpg</t>
  </si>
  <si>
    <t>day0_control_plate_f__013 copy_Plant_4_140.jpg</t>
  </si>
  <si>
    <t>day0_control_plate_f__013 copy_Plant_3_167.jpg</t>
  </si>
  <si>
    <t>day0_control_plate_f__013 copy_Plant_2_159.jpg</t>
  </si>
  <si>
    <t>day0_control_plate_f__013 copy_Plant_1_163.jpg</t>
  </si>
  <si>
    <t>day0_control_plate_d__011 copy_Plant_9_132.jpg</t>
  </si>
  <si>
    <t>day0_control_plate_d__011 copy_Plant_8_124.jpg</t>
  </si>
  <si>
    <t>day0_control_plate_d__011 copy_Plant_7_128.jpg</t>
  </si>
  <si>
    <t>day0_control_plate_d__011 copy_Plant_5_116.jpg</t>
  </si>
  <si>
    <t>day0_control_plate_d__011 copy_Plant_4_120.jpg</t>
  </si>
  <si>
    <t>day0_control_plate_d__011 copy_Plant_3_112.jpg</t>
  </si>
  <si>
    <t>day0_control_plate_d__011 copy_Plant_2_104.jpg</t>
  </si>
  <si>
    <t>day0_control_plate_d__011 copy_Plant_1_108.jpg</t>
  </si>
  <si>
    <t>Col-0 + FLG22</t>
  </si>
  <si>
    <t>Col-0 Control</t>
  </si>
  <si>
    <t>Col-0 + Pathogen</t>
  </si>
  <si>
    <t>mean</t>
  </si>
  <si>
    <t>SE</t>
  </si>
  <si>
    <t>cml24-2 Control</t>
  </si>
  <si>
    <t>cml24-2 + FLG22</t>
  </si>
  <si>
    <t>cml24-2 + Pathogen</t>
  </si>
  <si>
    <t>cml24-4 Control</t>
  </si>
  <si>
    <t>cml24-4 + FLG22</t>
  </si>
  <si>
    <t>cml24-4 + Pathogen</t>
  </si>
  <si>
    <t>FLS2-101 Control</t>
  </si>
  <si>
    <t>FLS2-101 + FLG22</t>
  </si>
  <si>
    <t>FLS2-101 + Pathogen</t>
  </si>
  <si>
    <t>GL3.4-2 Control</t>
  </si>
  <si>
    <t>GL3.4-2 + FLG22</t>
  </si>
  <si>
    <t>GL3.4-2 + Pathogen</t>
  </si>
  <si>
    <t>GLR3.3-1 Control</t>
  </si>
  <si>
    <t>GLR3.3-1 + FLG22</t>
  </si>
  <si>
    <t>GLR3.3-1 + Pathogen</t>
  </si>
  <si>
    <t>Time</t>
  </si>
  <si>
    <t>GLR3.4-2 Control</t>
  </si>
  <si>
    <t>GLR3.4-2 + FLG22</t>
  </si>
  <si>
    <t>GLR3.4-2 + Pathogen</t>
  </si>
  <si>
    <t>GLR3.4-1 Control</t>
  </si>
  <si>
    <t>GLR3.4-1 + FLG22</t>
  </si>
  <si>
    <t>GLR3.4-1 + Pathogen</t>
  </si>
  <si>
    <t>Time (Days)</t>
  </si>
  <si>
    <t>GLR3.3-2 Control</t>
  </si>
  <si>
    <t>GLR3.3-2 + FLG22</t>
  </si>
  <si>
    <t>GLR3.3-2 + Pathogen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</si>
</sst>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6">
    <font>
      <name val="Calibri"/>
      <family val="2"/>
      <color rgb="FF000000"/>
      <sz val="12"/>
      <scheme val="minor"/>
    </font>
    <font>
      <name val="Calibri"/>
      <family val="2"/>
      <b/>
      <color rgb="FF000000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rgb="FF800080"/>
      <sz val="12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6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</cellStyleXfs>
  <cellXfs count="5">
    <xf numFmtId="0" fontId="0" fillId="0" borderId="0" xfId="0"/>
    <xf numFmtId="0" fontId="4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</cellXfs>
  <cellStyles count="3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theme" Target="theme/theme1.xml" TargetMode="Internal"/><Relationship Id="rId12" Type="http://schemas.openxmlformats.org/officeDocument/2006/relationships/styles" Target="styles.xml" TargetMode="Internal"/><Relationship Id="rId13" Type="http://schemas.openxmlformats.org/officeDocument/2006/relationships/sharedStrings" Target="sharedStrings.xml" TargetMode="Internal"/><Relationship Id="rId14" Type="http://schemas.openxmlformats.org/officeDocument/2006/relationships/calcChain" Target="calcChain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'Col-0'!$S$13</c:f>
              <c:strCache>
                <c:ptCount val="1"/>
                <c:pt idx="0">
                  <c:v>Col-0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'Col-0'!$V$14:$V$17</c:f>
                <c:numCache>
                  <c:formatCode>General</c:formatCode>
                  <c:ptCount val="4"/>
                  <c:pt idx="0">
                    <c:v>0.083076019403917</c:v>
                  </c:pt>
                  <c:pt idx="1">
                    <c:v>0.196395010119911</c:v>
                  </c:pt>
                  <c:pt idx="2">
                    <c:v>0.244567986457754</c:v>
                  </c:pt>
                  <c:pt idx="3">
                    <c:v>0.359858826486165</c:v>
                  </c:pt>
                </c:numCache>
              </c:numRef>
            </c:plus>
            <c:minus>
              <c:numRef>
                <c:f>'Col-0'!$V$14:$V$17</c:f>
                <c:numCache>
                  <c:formatCode>General</c:formatCode>
                  <c:ptCount val="4"/>
                  <c:pt idx="0">
                    <c:v>0.083076019403917</c:v>
                  </c:pt>
                  <c:pt idx="1">
                    <c:v>0.196395010119911</c:v>
                  </c:pt>
                  <c:pt idx="2">
                    <c:v>0.244567986457754</c:v>
                  </c:pt>
                  <c:pt idx="3">
                    <c:v>0.359858826486165</c:v>
                  </c:pt>
                </c:numCache>
              </c:numRef>
            </c:minus>
          </c:errBars>
          <c:cat>
            <c:numRef>
              <c:f>'Col-0'!$R$14:$R$17</c:f>
              <c:numCache>
                <c:formatCode>General</c:formatCode>
                <c:ptCount val="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</c:numCache>
            </c:numRef>
          </c:cat>
          <c:val>
            <c:numRef>
              <c:f>'Col-0'!$S$14:$S$17</c:f>
              <c:numCache>
                <c:formatCode>General</c:formatCode>
                <c:ptCount val="4"/>
                <c:pt idx="0">
                  <c:v>0.349</c:v>
                </c:pt>
                <c:pt idx="1">
                  <c:v>0.6585</c:v>
                </c:pt>
                <c:pt idx="2">
                  <c:v>0.8215</c:v>
                </c:pt>
                <c:pt idx="3">
                  <c:v>1.2055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'Col-0'!$T$13</c:f>
              <c:strCache>
                <c:ptCount val="1"/>
                <c:pt idx="0">
                  <c:v>Col-0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'Col-0'!$W$14:$W$17</c:f>
                <c:numCache>
                  <c:formatCode>General</c:formatCode>
                  <c:ptCount val="4"/>
                  <c:pt idx="0">
                    <c:v>0.24109308368346</c:v>
                  </c:pt>
                  <c:pt idx="1">
                    <c:v>0.35543160382836</c:v>
                  </c:pt>
                  <c:pt idx="2">
                    <c:v>0.433395316079904</c:v>
                  </c:pt>
                  <c:pt idx="3">
                    <c:v>0.461471830126173</c:v>
                  </c:pt>
                </c:numCache>
              </c:numRef>
            </c:plus>
            <c:minus>
              <c:numRef>
                <c:f>'Col-0'!$W$14:$W$17</c:f>
                <c:numCache>
                  <c:formatCode>General</c:formatCode>
                  <c:ptCount val="4"/>
                  <c:pt idx="0">
                    <c:v>0.24109308368346</c:v>
                  </c:pt>
                  <c:pt idx="1">
                    <c:v>0.35543160382836</c:v>
                  </c:pt>
                  <c:pt idx="2">
                    <c:v>0.433395316079904</c:v>
                  </c:pt>
                  <c:pt idx="3">
                    <c:v>0.461471830126173</c:v>
                  </c:pt>
                </c:numCache>
              </c:numRef>
            </c:minus>
          </c:errBars>
          <c:cat>
            <c:numRef>
              <c:f>'Col-0'!$R$14:$R$17</c:f>
              <c:numCache>
                <c:formatCode>General</c:formatCode>
                <c:ptCount val="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</c:numCache>
            </c:numRef>
          </c:cat>
          <c:val>
            <c:numRef>
              <c:f>'Col-0'!$T$14:$T$17</c:f>
              <c:numCache>
                <c:formatCode>General</c:formatCode>
                <c:ptCount val="4"/>
                <c:pt idx="0">
                  <c:v>0.7355</c:v>
                </c:pt>
                <c:pt idx="1">
                  <c:v>1.1065</c:v>
                </c:pt>
                <c:pt idx="2">
                  <c:v>1.3395</c:v>
                </c:pt>
                <c:pt idx="3">
                  <c:v>1.64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'Col-0'!$U$13</c:f>
              <c:strCache>
                <c:ptCount val="1"/>
                <c:pt idx="0">
                  <c:v>Col-0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'Col-0'!$X$14:$X$17</c:f>
                <c:numCache>
                  <c:formatCode>General</c:formatCode>
                  <c:ptCount val="4"/>
                  <c:pt idx="0">
                    <c:v>0.161069860619546</c:v>
                  </c:pt>
                  <c:pt idx="1">
                    <c:v>0.22601520966519</c:v>
                  </c:pt>
                  <c:pt idx="2">
                    <c:v>0.19931194143854</c:v>
                  </c:pt>
                  <c:pt idx="3">
                    <c:v>0.145534789655257</c:v>
                  </c:pt>
                </c:numCache>
              </c:numRef>
            </c:plus>
            <c:minus>
              <c:numRef>
                <c:f>'Col-0'!$X$14:$X$17</c:f>
                <c:numCache>
                  <c:formatCode>General</c:formatCode>
                  <c:ptCount val="4"/>
                  <c:pt idx="0">
                    <c:v>0.161069860619546</c:v>
                  </c:pt>
                  <c:pt idx="1">
                    <c:v>0.22601520966519</c:v>
                  </c:pt>
                  <c:pt idx="2">
                    <c:v>0.19931194143854</c:v>
                  </c:pt>
                  <c:pt idx="3">
                    <c:v>0.145534789655257</c:v>
                  </c:pt>
                </c:numCache>
              </c:numRef>
            </c:minus>
          </c:errBars>
          <c:cat>
            <c:numRef>
              <c:f>'Col-0'!$R$14:$R$17</c:f>
              <c:numCache>
                <c:formatCode>General</c:formatCode>
                <c:ptCount val="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</c:numCache>
            </c:numRef>
          </c:cat>
          <c:val>
            <c:numRef>
              <c:f>'Col-0'!$U$14:$U$17</c:f>
              <c:numCache>
                <c:formatCode>General</c:formatCode>
                <c:ptCount val="4"/>
                <c:pt idx="0">
                  <c:v>0.779</c:v>
                </c:pt>
                <c:pt idx="1">
                  <c:v>0.9015</c:v>
                </c:pt>
                <c:pt idx="2">
                  <c:v>0.7855</c:v>
                </c:pt>
                <c:pt idx="3">
                  <c:v>0.5865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743960"/>
        <c:axId val="2109863720"/>
      </c:lineChart>
      <c:catAx>
        <c:axId val="2110743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9863720"/>
        <c:crosses val="autoZero"/>
        <c:auto val="1"/>
        <c:lblAlgn val="ctr"/>
        <c:lblOffset val="100"/>
        <c:noMultiLvlLbl val="0"/>
      </c:catAx>
      <c:valAx>
        <c:axId val="2109863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0743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'cml24-2'!$R$10</c:f>
              <c:strCache>
                <c:ptCount val="1"/>
                <c:pt idx="0">
                  <c:v>cml24-2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'cml24-2'!$U$11:$U$14</c:f>
                <c:numCache>
                  <c:formatCode>General</c:formatCode>
                  <c:ptCount val="4"/>
                  <c:pt idx="0">
                    <c:v>0.0354048019342009</c:v>
                  </c:pt>
                  <c:pt idx="1">
                    <c:v>0.0541952488692506</c:v>
                  </c:pt>
                  <c:pt idx="2">
                    <c:v>0.055595638318127</c:v>
                  </c:pt>
                  <c:pt idx="3">
                    <c:v>0.0874621346640932</c:v>
                  </c:pt>
                </c:numCache>
              </c:numRef>
            </c:plus>
            <c:minus>
              <c:numRef>
                <c:f>'cml24-2'!$U$11:$U$14</c:f>
                <c:numCache>
                  <c:formatCode>General</c:formatCode>
                  <c:ptCount val="4"/>
                  <c:pt idx="0">
                    <c:v>0.0354048019342009</c:v>
                  </c:pt>
                  <c:pt idx="1">
                    <c:v>0.0541952488692506</c:v>
                  </c:pt>
                  <c:pt idx="2">
                    <c:v>0.055595638318127</c:v>
                  </c:pt>
                  <c:pt idx="3">
                    <c:v>0.0874621346640932</c:v>
                  </c:pt>
                </c:numCache>
              </c:numRef>
            </c:minus>
          </c:errBars>
          <c:val>
            <c:numRef>
              <c:f>'cml24-2'!$R$11:$R$14</c:f>
              <c:numCache>
                <c:formatCode>General</c:formatCode>
                <c:ptCount val="4"/>
                <c:pt idx="0">
                  <c:v>0.234</c:v>
                </c:pt>
                <c:pt idx="1">
                  <c:v>0.4055</c:v>
                </c:pt>
                <c:pt idx="2">
                  <c:v>0.4495</c:v>
                </c:pt>
                <c:pt idx="3">
                  <c:v>0.582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'cml24-2'!$S$10</c:f>
              <c:strCache>
                <c:ptCount val="1"/>
                <c:pt idx="0">
                  <c:v>cml24-2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'cml24-2'!$V$11:$V$14</c:f>
                <c:numCache>
                  <c:formatCode>General</c:formatCode>
                  <c:ptCount val="4"/>
                  <c:pt idx="0">
                    <c:v>0.0677387752079019</c:v>
                  </c:pt>
                  <c:pt idx="1">
                    <c:v>0.0669528363227925</c:v>
                  </c:pt>
                  <c:pt idx="2">
                    <c:v>0.111277501282455</c:v>
                  </c:pt>
                  <c:pt idx="3">
                    <c:v>0.154071479623366</c:v>
                  </c:pt>
                </c:numCache>
              </c:numRef>
            </c:plus>
            <c:minus>
              <c:numRef>
                <c:f>'cml24-2'!$V$11:$V$14</c:f>
                <c:numCache>
                  <c:formatCode>General</c:formatCode>
                  <c:ptCount val="4"/>
                  <c:pt idx="0">
                    <c:v>0.0677387752079019</c:v>
                  </c:pt>
                  <c:pt idx="1">
                    <c:v>0.0669528363227925</c:v>
                  </c:pt>
                  <c:pt idx="2">
                    <c:v>0.111277501282455</c:v>
                  </c:pt>
                  <c:pt idx="3">
                    <c:v>0.154071479623366</c:v>
                  </c:pt>
                </c:numCache>
              </c:numRef>
            </c:minus>
          </c:errBars>
          <c:val>
            <c:numRef>
              <c:f>'cml24-2'!$S$11:$S$14</c:f>
              <c:numCache>
                <c:formatCode>General</c:formatCode>
                <c:ptCount val="4"/>
                <c:pt idx="0">
                  <c:v>0.3025</c:v>
                </c:pt>
                <c:pt idx="1">
                  <c:v>0.539375</c:v>
                </c:pt>
                <c:pt idx="2">
                  <c:v>0.590625</c:v>
                </c:pt>
                <c:pt idx="3">
                  <c:v>0.71375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'cml24-2'!$T$10</c:f>
              <c:strCache>
                <c:ptCount val="1"/>
                <c:pt idx="0">
                  <c:v>cml24-2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'cml24-2'!$W$11:$W$14</c:f>
                <c:numCache>
                  <c:formatCode>General</c:formatCode>
                  <c:ptCount val="4"/>
                  <c:pt idx="0">
                    <c:v>0.0385816234322335</c:v>
                  </c:pt>
                  <c:pt idx="1">
                    <c:v>0.026366309784774</c:v>
                  </c:pt>
                  <c:pt idx="2">
                    <c:v>0.0266609694434892</c:v>
                  </c:pt>
                  <c:pt idx="3">
                    <c:v>0.00425428705347128</c:v>
                  </c:pt>
                </c:numCache>
              </c:numRef>
            </c:plus>
            <c:minus>
              <c:numRef>
                <c:f>'cml24-2'!$W$11:$W$14</c:f>
                <c:numCache>
                  <c:formatCode>General</c:formatCode>
                  <c:ptCount val="4"/>
                  <c:pt idx="0">
                    <c:v>0.0385816234322335</c:v>
                  </c:pt>
                  <c:pt idx="1">
                    <c:v>0.026366309784774</c:v>
                  </c:pt>
                  <c:pt idx="2">
                    <c:v>0.0266609694434892</c:v>
                  </c:pt>
                  <c:pt idx="3">
                    <c:v>0.00425428705347128</c:v>
                  </c:pt>
                </c:numCache>
              </c:numRef>
            </c:minus>
          </c:errBars>
          <c:val>
            <c:numRef>
              <c:f>'cml24-2'!$T$11:$T$14</c:f>
              <c:numCache>
                <c:formatCode>General</c:formatCode>
                <c:ptCount val="4"/>
                <c:pt idx="0">
                  <c:v>0.1675</c:v>
                </c:pt>
                <c:pt idx="1">
                  <c:v>0.193125</c:v>
                </c:pt>
                <c:pt idx="2">
                  <c:v>0.131875</c:v>
                </c:pt>
                <c:pt idx="3">
                  <c:v>0.023125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885608"/>
        <c:axId val="2119387240"/>
      </c:lineChart>
      <c:catAx>
        <c:axId val="2118885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9387240"/>
        <c:crosses val="autoZero"/>
        <c:auto val="1"/>
        <c:lblAlgn val="ctr"/>
        <c:lblOffset val="100"/>
        <c:noMultiLvlLbl val="0"/>
      </c:catAx>
      <c:valAx>
        <c:axId val="2119387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8885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'cml24-4'!$S$9</c:f>
              <c:strCache>
                <c:ptCount val="1"/>
                <c:pt idx="0">
                  <c:v>cml24-4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'cml24-4'!$V$10:$V$13</c:f>
                <c:numCache>
                  <c:formatCode>General</c:formatCode>
                  <c:ptCount val="4"/>
                  <c:pt idx="0">
                    <c:v>0.390051759385854</c:v>
                  </c:pt>
                  <c:pt idx="1">
                    <c:v>0.578243028492346</c:v>
                  </c:pt>
                  <c:pt idx="2">
                    <c:v>0.763826141867375</c:v>
                  </c:pt>
                  <c:pt idx="3">
                    <c:v>0.826526012899776</c:v>
                  </c:pt>
                </c:numCache>
              </c:numRef>
            </c:plus>
            <c:minus>
              <c:numRef>
                <c:f>'cml24-4'!$V$10:$V$13</c:f>
                <c:numCache>
                  <c:formatCode>General</c:formatCode>
                  <c:ptCount val="4"/>
                  <c:pt idx="0">
                    <c:v>0.390051759385854</c:v>
                  </c:pt>
                  <c:pt idx="1">
                    <c:v>0.578243028492346</c:v>
                  </c:pt>
                  <c:pt idx="2">
                    <c:v>0.763826141867375</c:v>
                  </c:pt>
                  <c:pt idx="3">
                    <c:v>0.826526012899776</c:v>
                  </c:pt>
                </c:numCache>
              </c:numRef>
            </c:minus>
          </c:errBars>
          <c:val>
            <c:numRef>
              <c:f>'cml24-4'!$S$10:$S$13</c:f>
              <c:numCache>
                <c:formatCode>General</c:formatCode>
                <c:ptCount val="4"/>
                <c:pt idx="0">
                  <c:v>1.181</c:v>
                </c:pt>
                <c:pt idx="1">
                  <c:v>1.8625</c:v>
                </c:pt>
                <c:pt idx="2">
                  <c:v>2.3635</c:v>
                </c:pt>
                <c:pt idx="3">
                  <c:v>2.9895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'cml24-4'!$T$9</c:f>
              <c:strCache>
                <c:ptCount val="1"/>
                <c:pt idx="0">
                  <c:v>cml24-4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'cml24-4'!$W$10:$W$13</c:f>
                <c:numCache>
                  <c:formatCode>General</c:formatCode>
                  <c:ptCount val="4"/>
                  <c:pt idx="0">
                    <c:v>0.401720907471842</c:v>
                  </c:pt>
                  <c:pt idx="1">
                    <c:v>0.587062226081415</c:v>
                  </c:pt>
                  <c:pt idx="2">
                    <c:v>0.780942606192457</c:v>
                  </c:pt>
                  <c:pt idx="3">
                    <c:v>1.138600429255145</c:v>
                  </c:pt>
                </c:numCache>
              </c:numRef>
            </c:plus>
            <c:minus>
              <c:numRef>
                <c:f>'cml24-4'!$W$10:$W$13</c:f>
                <c:numCache>
                  <c:formatCode>General</c:formatCode>
                  <c:ptCount val="4"/>
                  <c:pt idx="0">
                    <c:v>0.401720907471842</c:v>
                  </c:pt>
                  <c:pt idx="1">
                    <c:v>0.587062226081415</c:v>
                  </c:pt>
                  <c:pt idx="2">
                    <c:v>0.780942606192457</c:v>
                  </c:pt>
                  <c:pt idx="3">
                    <c:v>1.138600429255145</c:v>
                  </c:pt>
                </c:numCache>
              </c:numRef>
            </c:minus>
          </c:errBars>
          <c:val>
            <c:numRef>
              <c:f>'cml24-4'!$T$10:$T$13</c:f>
              <c:numCache>
                <c:formatCode>General</c:formatCode>
                <c:ptCount val="4"/>
                <c:pt idx="0">
                  <c:v>0.66375</c:v>
                </c:pt>
                <c:pt idx="1">
                  <c:v>0.976875</c:v>
                </c:pt>
                <c:pt idx="2">
                  <c:v>1.28125</c:v>
                </c:pt>
                <c:pt idx="3">
                  <c:v>1.67625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'cml24-4'!$U$9</c:f>
              <c:strCache>
                <c:ptCount val="1"/>
                <c:pt idx="0">
                  <c:v>cml24-4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'cml24-4'!$X$10:$X$13</c:f>
                <c:numCache>
                  <c:formatCode>General</c:formatCode>
                  <c:ptCount val="4"/>
                  <c:pt idx="0">
                    <c:v>0.430560439040405</c:v>
                  </c:pt>
                  <c:pt idx="1">
                    <c:v>0.515004550950766</c:v>
                  </c:pt>
                  <c:pt idx="2">
                    <c:v>0.496846697307127</c:v>
                  </c:pt>
                  <c:pt idx="3">
                    <c:v>0.222906931251587</c:v>
                  </c:pt>
                </c:numCache>
              </c:numRef>
            </c:plus>
            <c:minus>
              <c:numRef>
                <c:f>'cml24-4'!$X$10:$X$13</c:f>
                <c:numCache>
                  <c:formatCode>General</c:formatCode>
                  <c:ptCount val="4"/>
                  <c:pt idx="0">
                    <c:v>0.430560439040405</c:v>
                  </c:pt>
                  <c:pt idx="1">
                    <c:v>0.515004550950766</c:v>
                  </c:pt>
                  <c:pt idx="2">
                    <c:v>0.496846697307127</c:v>
                  </c:pt>
                  <c:pt idx="3">
                    <c:v>0.222906931251587</c:v>
                  </c:pt>
                </c:numCache>
              </c:numRef>
            </c:minus>
          </c:errBars>
          <c:val>
            <c:numRef>
              <c:f>'cml24-4'!$U$10:$U$13</c:f>
              <c:numCache>
                <c:formatCode>General</c:formatCode>
                <c:ptCount val="4"/>
                <c:pt idx="0">
                  <c:v>1.5575</c:v>
                </c:pt>
                <c:pt idx="1">
                  <c:v>1.68375</c:v>
                </c:pt>
                <c:pt idx="2">
                  <c:v>1.538125</c:v>
                </c:pt>
                <c:pt idx="3">
                  <c:v>0.955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870600"/>
        <c:axId val="2119540008"/>
      </c:lineChart>
      <c:catAx>
        <c:axId val="2113870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9540008"/>
        <c:crosses val="autoZero"/>
        <c:auto val="1"/>
        <c:lblAlgn val="ctr"/>
        <c:lblOffset val="100"/>
        <c:noMultiLvlLbl val="0"/>
      </c:catAx>
      <c:valAx>
        <c:axId val="2119540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3870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'FLS2-101'!$R$10</c:f>
              <c:strCache>
                <c:ptCount val="1"/>
                <c:pt idx="0">
                  <c:v>FLS2-101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'FLS2-101'!$U$11:$U$14</c:f>
                <c:numCache>
                  <c:formatCode>General</c:formatCode>
                  <c:ptCount val="4"/>
                  <c:pt idx="0">
                    <c:v>0.426452957546316</c:v>
                  </c:pt>
                  <c:pt idx="1">
                    <c:v>0.789849273595918</c:v>
                  </c:pt>
                  <c:pt idx="2">
                    <c:v>0.821901529990059</c:v>
                  </c:pt>
                  <c:pt idx="3">
                    <c:v>0.966249644243143</c:v>
                  </c:pt>
                </c:numCache>
              </c:numRef>
            </c:plus>
            <c:minus>
              <c:numRef>
                <c:f>'FLS2-101'!$U$11:$U$14</c:f>
                <c:numCache>
                  <c:formatCode>General</c:formatCode>
                  <c:ptCount val="4"/>
                  <c:pt idx="0">
                    <c:v>0.426452957546316</c:v>
                  </c:pt>
                  <c:pt idx="1">
                    <c:v>0.789849273595918</c:v>
                  </c:pt>
                  <c:pt idx="2">
                    <c:v>0.821901529990059</c:v>
                  </c:pt>
                  <c:pt idx="3">
                    <c:v>0.966249644243143</c:v>
                  </c:pt>
                </c:numCache>
              </c:numRef>
            </c:minus>
          </c:errBars>
          <c:val>
            <c:numRef>
              <c:f>'FLS2-101'!$R$11:$R$14</c:f>
              <c:numCache>
                <c:formatCode>General</c:formatCode>
                <c:ptCount val="4"/>
                <c:pt idx="0">
                  <c:v>1.2645</c:v>
                </c:pt>
                <c:pt idx="1">
                  <c:v>2.1625</c:v>
                </c:pt>
                <c:pt idx="2">
                  <c:v>2.5345</c:v>
                </c:pt>
                <c:pt idx="3">
                  <c:v>3.167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'FLS2-101'!$S$10</c:f>
              <c:strCache>
                <c:ptCount val="1"/>
                <c:pt idx="0">
                  <c:v>FLS2-101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'FLS2-101'!$V$11:$V$14</c:f>
                <c:numCache>
                  <c:formatCode>General</c:formatCode>
                  <c:ptCount val="4"/>
                  <c:pt idx="0">
                    <c:v>0.190976111071516</c:v>
                  </c:pt>
                  <c:pt idx="1">
                    <c:v>0.275827117880627</c:v>
                  </c:pt>
                  <c:pt idx="2">
                    <c:v>0.334687937674784</c:v>
                  </c:pt>
                  <c:pt idx="3">
                    <c:v>0.468778332477089</c:v>
                  </c:pt>
                </c:numCache>
              </c:numRef>
            </c:plus>
            <c:minus>
              <c:numRef>
                <c:f>'FLS2-101'!$V$11:$V$14</c:f>
                <c:numCache>
                  <c:formatCode>General</c:formatCode>
                  <c:ptCount val="4"/>
                  <c:pt idx="0">
                    <c:v>0.190976111071516</c:v>
                  </c:pt>
                  <c:pt idx="1">
                    <c:v>0.275827117880627</c:v>
                  </c:pt>
                  <c:pt idx="2">
                    <c:v>0.334687937674784</c:v>
                  </c:pt>
                  <c:pt idx="3">
                    <c:v>0.468778332477089</c:v>
                  </c:pt>
                </c:numCache>
              </c:numRef>
            </c:minus>
          </c:errBars>
          <c:val>
            <c:numRef>
              <c:f>'FLS2-101'!$S$11:$S$14</c:f>
              <c:numCache>
                <c:formatCode>General</c:formatCode>
                <c:ptCount val="4"/>
                <c:pt idx="0">
                  <c:v>0.5675</c:v>
                </c:pt>
                <c:pt idx="1">
                  <c:v>0.955625</c:v>
                </c:pt>
                <c:pt idx="2">
                  <c:v>1.193125</c:v>
                </c:pt>
                <c:pt idx="3">
                  <c:v>1.59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'FLS2-101'!$T$10</c:f>
              <c:strCache>
                <c:ptCount val="1"/>
                <c:pt idx="0">
                  <c:v>FLS2-101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'FLS2-101'!$W$11:$W$14</c:f>
                <c:numCache>
                  <c:formatCode>General</c:formatCode>
                  <c:ptCount val="4"/>
                  <c:pt idx="0">
                    <c:v>0.124108319624431</c:v>
                  </c:pt>
                  <c:pt idx="1">
                    <c:v>0.163291151015601</c:v>
                  </c:pt>
                  <c:pt idx="2">
                    <c:v>0.153180857159111</c:v>
                  </c:pt>
                  <c:pt idx="3">
                    <c:v>0.128630770035789</c:v>
                  </c:pt>
                </c:numCache>
              </c:numRef>
            </c:plus>
            <c:minus>
              <c:numRef>
                <c:f>'FLS2-101'!$W$11:$W$14</c:f>
                <c:numCache>
                  <c:formatCode>General</c:formatCode>
                  <c:ptCount val="4"/>
                  <c:pt idx="0">
                    <c:v>0.124108319624431</c:v>
                  </c:pt>
                  <c:pt idx="1">
                    <c:v>0.163291151015601</c:v>
                  </c:pt>
                  <c:pt idx="2">
                    <c:v>0.153180857159111</c:v>
                  </c:pt>
                  <c:pt idx="3">
                    <c:v>0.128630770035789</c:v>
                  </c:pt>
                </c:numCache>
              </c:numRef>
            </c:minus>
          </c:errBars>
          <c:val>
            <c:numRef>
              <c:f>'FLS2-101'!$T$11:$T$14</c:f>
              <c:numCache>
                <c:formatCode>General</c:formatCode>
                <c:ptCount val="4"/>
                <c:pt idx="0">
                  <c:v>0.8415</c:v>
                </c:pt>
                <c:pt idx="1">
                  <c:v>0.9945</c:v>
                </c:pt>
                <c:pt idx="2">
                  <c:v>0.8775</c:v>
                </c:pt>
                <c:pt idx="3">
                  <c:v>0.5905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834440"/>
        <c:axId val="2113735768"/>
      </c:lineChart>
      <c:catAx>
        <c:axId val="211383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3735768"/>
        <c:crosses val="autoZero"/>
        <c:auto val="1"/>
        <c:lblAlgn val="ctr"/>
        <c:lblOffset val="100"/>
        <c:noMultiLvlLbl val="0"/>
      </c:catAx>
      <c:valAx>
        <c:axId val="2113735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3834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'GLR3.3-2'!$S$10</c:f>
              <c:strCache>
                <c:ptCount val="1"/>
                <c:pt idx="0">
                  <c:v>GLR3.3-2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'GLR3.3-2'!$V$11:$V$14</c:f>
                <c:numCache>
                  <c:formatCode>General</c:formatCode>
                  <c:ptCount val="4"/>
                  <c:pt idx="0">
                    <c:v>0.272252869590019</c:v>
                  </c:pt>
                  <c:pt idx="1">
                    <c:v>0.446856660462838</c:v>
                  </c:pt>
                  <c:pt idx="2">
                    <c:v>0.619807228095962</c:v>
                  </c:pt>
                  <c:pt idx="3">
                    <c:v>0.646392585817628</c:v>
                  </c:pt>
                </c:numCache>
              </c:numRef>
            </c:plus>
            <c:minus>
              <c:numRef>
                <c:f>'GLR3.3-2'!$V$11:$V$14</c:f>
                <c:numCache>
                  <c:formatCode>General</c:formatCode>
                  <c:ptCount val="4"/>
                  <c:pt idx="0">
                    <c:v>0.272252869590019</c:v>
                  </c:pt>
                  <c:pt idx="1">
                    <c:v>0.446856660462838</c:v>
                  </c:pt>
                  <c:pt idx="2">
                    <c:v>0.619807228095962</c:v>
                  </c:pt>
                  <c:pt idx="3">
                    <c:v>0.646392585817628</c:v>
                  </c:pt>
                </c:numCache>
              </c:numRef>
            </c:minus>
          </c:errBars>
          <c:val>
            <c:numRef>
              <c:f>'GLR3.3-2'!$S$11:$S$14</c:f>
              <c:numCache>
                <c:formatCode>General</c:formatCode>
                <c:ptCount val="4"/>
                <c:pt idx="0">
                  <c:v>0.9215</c:v>
                </c:pt>
                <c:pt idx="1">
                  <c:v>1.5855</c:v>
                </c:pt>
                <c:pt idx="2">
                  <c:v>2.131</c:v>
                </c:pt>
                <c:pt idx="3">
                  <c:v>2.7145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'GLR3.3-2'!$T$10</c:f>
              <c:strCache>
                <c:ptCount val="1"/>
                <c:pt idx="0">
                  <c:v>GLR3.3-2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'GLR3.3-2'!$W$11:$W$14</c:f>
                <c:numCache>
                  <c:formatCode>General</c:formatCode>
                  <c:ptCount val="4"/>
                  <c:pt idx="0">
                    <c:v>0.065419798226531</c:v>
                  </c:pt>
                  <c:pt idx="1">
                    <c:v>0.150330053548849</c:v>
                  </c:pt>
                  <c:pt idx="2">
                    <c:v>0.140714693617973</c:v>
                  </c:pt>
                  <c:pt idx="3">
                    <c:v>0.124457322002364</c:v>
                  </c:pt>
                </c:numCache>
              </c:numRef>
            </c:plus>
            <c:minus>
              <c:numRef>
                <c:f>'GLR3.3-2'!$W$11:$W$14</c:f>
                <c:numCache>
                  <c:formatCode>General</c:formatCode>
                  <c:ptCount val="4"/>
                  <c:pt idx="0">
                    <c:v>0.065419798226531</c:v>
                  </c:pt>
                  <c:pt idx="1">
                    <c:v>0.150330053548849</c:v>
                  </c:pt>
                  <c:pt idx="2">
                    <c:v>0.140714693617973</c:v>
                  </c:pt>
                  <c:pt idx="3">
                    <c:v>0.124457322002364</c:v>
                  </c:pt>
                </c:numCache>
              </c:numRef>
            </c:minus>
          </c:errBars>
          <c:val>
            <c:numRef>
              <c:f>'GLR3.3-2'!$T$11:$T$14</c:f>
              <c:numCache>
                <c:formatCode>General</c:formatCode>
                <c:ptCount val="4"/>
                <c:pt idx="0">
                  <c:v>0.7065</c:v>
                </c:pt>
                <c:pt idx="1">
                  <c:v>1.034</c:v>
                </c:pt>
                <c:pt idx="2">
                  <c:v>1.2175</c:v>
                </c:pt>
                <c:pt idx="3">
                  <c:v>1.4195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'GLR3.3-2'!$U$10</c:f>
              <c:strCache>
                <c:ptCount val="1"/>
                <c:pt idx="0">
                  <c:v>GLR3.3-2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'GLR3.3-2'!$X$11:$X$14</c:f>
                <c:numCache>
                  <c:formatCode>General</c:formatCode>
                  <c:ptCount val="4"/>
                  <c:pt idx="0">
                    <c:v>0.0741425990912106</c:v>
                  </c:pt>
                  <c:pt idx="1">
                    <c:v>0.083460319913118</c:v>
                  </c:pt>
                  <c:pt idx="2">
                    <c:v>0.0936095614774473</c:v>
                  </c:pt>
                  <c:pt idx="3">
                    <c:v>0.0854012587729243</c:v>
                  </c:pt>
                </c:numCache>
              </c:numRef>
            </c:plus>
            <c:minus>
              <c:numRef>
                <c:f>'GLR3.3-2'!$X$11:$X$14</c:f>
                <c:numCache>
                  <c:formatCode>General</c:formatCode>
                  <c:ptCount val="4"/>
                  <c:pt idx="0">
                    <c:v>0.0741425990912106</c:v>
                  </c:pt>
                  <c:pt idx="1">
                    <c:v>0.083460319913118</c:v>
                  </c:pt>
                  <c:pt idx="2">
                    <c:v>0.0936095614774473</c:v>
                  </c:pt>
                  <c:pt idx="3">
                    <c:v>0.0854012587729243</c:v>
                  </c:pt>
                </c:numCache>
              </c:numRef>
            </c:minus>
          </c:errBars>
          <c:val>
            <c:numRef>
              <c:f>'GLR3.3-2'!$U$11:$U$14</c:f>
              <c:numCache>
                <c:formatCode>General</c:formatCode>
                <c:ptCount val="4"/>
                <c:pt idx="0">
                  <c:v>0.722</c:v>
                </c:pt>
                <c:pt idx="1">
                  <c:v>0.8875</c:v>
                </c:pt>
                <c:pt idx="2">
                  <c:v>0.793</c:v>
                </c:pt>
                <c:pt idx="3">
                  <c:v>0.6205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753064"/>
        <c:axId val="2113488712"/>
      </c:lineChart>
      <c:catAx>
        <c:axId val="2113753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3488712"/>
        <c:crosses val="autoZero"/>
        <c:auto val="1"/>
        <c:lblAlgn val="ctr"/>
        <c:lblOffset val="100"/>
        <c:noMultiLvlLbl val="0"/>
      </c:catAx>
      <c:valAx>
        <c:axId val="2113488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3753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'GLR3.3-1'!$S$8</c:f>
              <c:strCache>
                <c:ptCount val="1"/>
                <c:pt idx="0">
                  <c:v>GLR3.3-1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'GLR3.3-1'!$V$9:$V$12</c:f>
                <c:numCache>
                  <c:formatCode>General</c:formatCode>
                  <c:ptCount val="4"/>
                  <c:pt idx="0">
                    <c:v>0.200725247540014</c:v>
                  </c:pt>
                  <c:pt idx="1">
                    <c:v>0.215242595691466</c:v>
                  </c:pt>
                  <c:pt idx="2">
                    <c:v>0.309596915359311</c:v>
                  </c:pt>
                  <c:pt idx="3">
                    <c:v>0.365207988685899</c:v>
                  </c:pt>
                </c:numCache>
              </c:numRef>
            </c:plus>
            <c:minus>
              <c:numRef>
                <c:f>'GLR3.3-1'!$V$9:$V$12</c:f>
                <c:numCache>
                  <c:formatCode>General</c:formatCode>
                  <c:ptCount val="4"/>
                  <c:pt idx="0">
                    <c:v>0.200725247540014</c:v>
                  </c:pt>
                  <c:pt idx="1">
                    <c:v>0.215242595691466</c:v>
                  </c:pt>
                  <c:pt idx="2">
                    <c:v>0.309596915359311</c:v>
                  </c:pt>
                  <c:pt idx="3">
                    <c:v>0.365207988685899</c:v>
                  </c:pt>
                </c:numCache>
              </c:numRef>
            </c:minus>
          </c:errBars>
          <c:val>
            <c:numRef>
              <c:f>'GLR3.3-1'!$S$9:$S$12</c:f>
              <c:numCache>
                <c:formatCode>General</c:formatCode>
                <c:ptCount val="4"/>
                <c:pt idx="0">
                  <c:v>0.84</c:v>
                </c:pt>
                <c:pt idx="1">
                  <c:v>1.2675</c:v>
                </c:pt>
                <c:pt idx="2">
                  <c:v>1.6905</c:v>
                </c:pt>
                <c:pt idx="3">
                  <c:v>2.175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'GLR3.3-1'!$T$8</c:f>
              <c:strCache>
                <c:ptCount val="1"/>
                <c:pt idx="0">
                  <c:v>GLR3.3-1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'GLR3.3-1'!$W$9:$W$12</c:f>
                <c:numCache>
                  <c:formatCode>General</c:formatCode>
                  <c:ptCount val="4"/>
                  <c:pt idx="0">
                    <c:v>0.186196468817215</c:v>
                  </c:pt>
                  <c:pt idx="1">
                    <c:v>0.270922036755964</c:v>
                  </c:pt>
                  <c:pt idx="2">
                    <c:v>0.307855485577243</c:v>
                  </c:pt>
                  <c:pt idx="3">
                    <c:v>0.467451601772847</c:v>
                  </c:pt>
                </c:numCache>
              </c:numRef>
            </c:plus>
            <c:minus>
              <c:numRef>
                <c:f>'GLR3.3-1'!$W$9:$W$12</c:f>
                <c:numCache>
                  <c:formatCode>General</c:formatCode>
                  <c:ptCount val="4"/>
                  <c:pt idx="0">
                    <c:v>0.186196468817215</c:v>
                  </c:pt>
                  <c:pt idx="1">
                    <c:v>0.270922036755964</c:v>
                  </c:pt>
                  <c:pt idx="2">
                    <c:v>0.307855485577243</c:v>
                  </c:pt>
                  <c:pt idx="3">
                    <c:v>0.467451601772847</c:v>
                  </c:pt>
                </c:numCache>
              </c:numRef>
            </c:minus>
          </c:errBars>
          <c:val>
            <c:numRef>
              <c:f>'GLR3.3-1'!$T$9:$T$12</c:f>
              <c:numCache>
                <c:formatCode>General</c:formatCode>
                <c:ptCount val="4"/>
                <c:pt idx="0">
                  <c:v>1.129</c:v>
                </c:pt>
                <c:pt idx="1">
                  <c:v>1.785</c:v>
                </c:pt>
                <c:pt idx="2">
                  <c:v>1.7275</c:v>
                </c:pt>
                <c:pt idx="3">
                  <c:v>2.1285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'GLR3.3-1'!$U$8</c:f>
              <c:strCache>
                <c:ptCount val="1"/>
                <c:pt idx="0">
                  <c:v>GLR3.3-1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'GLR3.3-1'!$X$9:$X$12</c:f>
                <c:numCache>
                  <c:formatCode>General</c:formatCode>
                  <c:ptCount val="4"/>
                  <c:pt idx="0">
                    <c:v>0.244860164175392</c:v>
                  </c:pt>
                  <c:pt idx="1">
                    <c:v>0.253950044300055</c:v>
                  </c:pt>
                  <c:pt idx="2">
                    <c:v>0.265147836121662</c:v>
                  </c:pt>
                  <c:pt idx="3">
                    <c:v>0.242785913924181</c:v>
                  </c:pt>
                </c:numCache>
              </c:numRef>
            </c:plus>
            <c:minus>
              <c:numRef>
                <c:f>'GLR3.3-1'!$X$9:$X$12</c:f>
                <c:numCache>
                  <c:formatCode>General</c:formatCode>
                  <c:ptCount val="4"/>
                  <c:pt idx="0">
                    <c:v>0.244860164175392</c:v>
                  </c:pt>
                  <c:pt idx="1">
                    <c:v>0.253950044300055</c:v>
                  </c:pt>
                  <c:pt idx="2">
                    <c:v>0.265147836121662</c:v>
                  </c:pt>
                  <c:pt idx="3">
                    <c:v>0.242785913924181</c:v>
                  </c:pt>
                </c:numCache>
              </c:numRef>
            </c:minus>
          </c:errBars>
          <c:val>
            <c:numRef>
              <c:f>'GLR3.3-1'!$U$9:$U$12</c:f>
              <c:numCache>
                <c:formatCode>General</c:formatCode>
                <c:ptCount val="4"/>
                <c:pt idx="0">
                  <c:v>0.978</c:v>
                </c:pt>
                <c:pt idx="1">
                  <c:v>1.1025</c:v>
                </c:pt>
                <c:pt idx="2">
                  <c:v>1.018</c:v>
                </c:pt>
                <c:pt idx="3">
                  <c:v>0.7725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250776"/>
        <c:axId val="2118319352"/>
      </c:lineChart>
      <c:catAx>
        <c:axId val="2118250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8319352"/>
        <c:crosses val="autoZero"/>
        <c:auto val="1"/>
        <c:lblAlgn val="ctr"/>
        <c:lblOffset val="100"/>
        <c:noMultiLvlLbl val="0"/>
      </c:catAx>
      <c:valAx>
        <c:axId val="2118319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8250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'GL3.4-2'!$R$8</c:f>
              <c:strCache>
                <c:ptCount val="1"/>
                <c:pt idx="0">
                  <c:v>GLR3.4-2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'GL3.4-2'!$U$9:$U$12</c:f>
                <c:numCache>
                  <c:formatCode>General</c:formatCode>
                  <c:ptCount val="4"/>
                  <c:pt idx="0">
                    <c:v>0.205896818819524</c:v>
                  </c:pt>
                  <c:pt idx="1">
                    <c:v>0.371844557577491</c:v>
                  </c:pt>
                  <c:pt idx="2">
                    <c:v>0.394176039352977</c:v>
                  </c:pt>
                  <c:pt idx="3">
                    <c:v>0.576608077466835</c:v>
                  </c:pt>
                </c:numCache>
              </c:numRef>
            </c:plus>
            <c:minus>
              <c:numRef>
                <c:f>'GL3.4-2'!$U$9:$U$12</c:f>
                <c:numCache>
                  <c:formatCode>General</c:formatCode>
                  <c:ptCount val="4"/>
                  <c:pt idx="0">
                    <c:v>0.205896818819524</c:v>
                  </c:pt>
                  <c:pt idx="1">
                    <c:v>0.371844557577491</c:v>
                  </c:pt>
                  <c:pt idx="2">
                    <c:v>0.394176039352977</c:v>
                  </c:pt>
                  <c:pt idx="3">
                    <c:v>0.576608077466835</c:v>
                  </c:pt>
                </c:numCache>
              </c:numRef>
            </c:minus>
          </c:errBars>
          <c:val>
            <c:numRef>
              <c:f>'GL3.4-2'!$R$9:$R$12</c:f>
              <c:numCache>
                <c:formatCode>General</c:formatCode>
                <c:ptCount val="4"/>
                <c:pt idx="0">
                  <c:v>0.841</c:v>
                </c:pt>
                <c:pt idx="1">
                  <c:v>1.2695</c:v>
                </c:pt>
                <c:pt idx="2">
                  <c:v>1.5835</c:v>
                </c:pt>
                <c:pt idx="3">
                  <c:v>2.22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'GL3.4-2'!$S$8</c:f>
              <c:strCache>
                <c:ptCount val="1"/>
                <c:pt idx="0">
                  <c:v>GLR3.4-2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'GL3.4-2'!$V$9:$V$12</c:f>
                <c:numCache>
                  <c:formatCode>General</c:formatCode>
                  <c:ptCount val="4"/>
                  <c:pt idx="0">
                    <c:v>0.10313098467483</c:v>
                  </c:pt>
                  <c:pt idx="1">
                    <c:v>0.172703503149183</c:v>
                  </c:pt>
                  <c:pt idx="2">
                    <c:v>0.0658672908202546</c:v>
                  </c:pt>
                  <c:pt idx="3">
                    <c:v>0.0838696905920126</c:v>
                  </c:pt>
                </c:numCache>
              </c:numRef>
            </c:plus>
            <c:minus>
              <c:numRef>
                <c:f>'GL3.4-2'!$V$9:$V$12</c:f>
                <c:numCache>
                  <c:formatCode>General</c:formatCode>
                  <c:ptCount val="4"/>
                  <c:pt idx="0">
                    <c:v>0.10313098467483</c:v>
                  </c:pt>
                  <c:pt idx="1">
                    <c:v>0.172703503149183</c:v>
                  </c:pt>
                  <c:pt idx="2">
                    <c:v>0.0658672908202546</c:v>
                  </c:pt>
                  <c:pt idx="3">
                    <c:v>0.0838696905920126</c:v>
                  </c:pt>
                </c:numCache>
              </c:numRef>
            </c:minus>
          </c:errBars>
          <c:val>
            <c:numRef>
              <c:f>'GL3.4-2'!$S$9:$S$12</c:f>
              <c:numCache>
                <c:formatCode>General</c:formatCode>
                <c:ptCount val="4"/>
                <c:pt idx="0">
                  <c:v>0.986</c:v>
                </c:pt>
                <c:pt idx="1">
                  <c:v>1.4305</c:v>
                </c:pt>
                <c:pt idx="2">
                  <c:v>1.4335</c:v>
                </c:pt>
                <c:pt idx="3">
                  <c:v>1.494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'GL3.4-2'!$T$8</c:f>
              <c:strCache>
                <c:ptCount val="1"/>
                <c:pt idx="0">
                  <c:v>GLR3.4-2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'GL3.4-2'!$W$9:$W$12</c:f>
                <c:numCache>
                  <c:formatCode>General</c:formatCode>
                  <c:ptCount val="4"/>
                  <c:pt idx="0">
                    <c:v>0.264845001840699</c:v>
                  </c:pt>
                  <c:pt idx="1">
                    <c:v>0.369750422582585</c:v>
                  </c:pt>
                  <c:pt idx="2">
                    <c:v>0.338416902651153</c:v>
                  </c:pt>
                  <c:pt idx="3">
                    <c:v>0.177197629780988</c:v>
                  </c:pt>
                </c:numCache>
              </c:numRef>
            </c:plus>
            <c:minus>
              <c:numRef>
                <c:f>'GL3.4-2'!$W$9:$W$12</c:f>
                <c:numCache>
                  <c:formatCode>General</c:formatCode>
                  <c:ptCount val="4"/>
                  <c:pt idx="0">
                    <c:v>0.264845001840699</c:v>
                  </c:pt>
                  <c:pt idx="1">
                    <c:v>0.369750422582585</c:v>
                  </c:pt>
                  <c:pt idx="2">
                    <c:v>0.338416902651153</c:v>
                  </c:pt>
                  <c:pt idx="3">
                    <c:v>0.177197629780988</c:v>
                  </c:pt>
                </c:numCache>
              </c:numRef>
            </c:minus>
          </c:errBars>
          <c:val>
            <c:numRef>
              <c:f>'GL3.4-2'!$T$9:$T$12</c:f>
              <c:numCache>
                <c:formatCode>General</c:formatCode>
                <c:ptCount val="4"/>
                <c:pt idx="0">
                  <c:v>1.1185</c:v>
                </c:pt>
                <c:pt idx="1">
                  <c:v>1.296</c:v>
                </c:pt>
                <c:pt idx="2">
                  <c:v>1.1715</c:v>
                </c:pt>
                <c:pt idx="3">
                  <c:v>0.8395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8891000"/>
        <c:axId val="-2138799976"/>
      </c:lineChart>
      <c:catAx>
        <c:axId val="-2138891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8799976"/>
        <c:crosses val="autoZero"/>
        <c:auto val="1"/>
        <c:lblAlgn val="ctr"/>
        <c:lblOffset val="100"/>
        <c:noMultiLvlLbl val="0"/>
      </c:catAx>
      <c:valAx>
        <c:axId val="-2138799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8891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'GLR3.4-1'!$S$10</c:f>
              <c:strCache>
                <c:ptCount val="1"/>
                <c:pt idx="0">
                  <c:v>GLR3.4-1 Control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'GLR3.4-1'!$V$11:$V$14</c:f>
                <c:numCache>
                  <c:formatCode>General</c:formatCode>
                  <c:ptCount val="4"/>
                  <c:pt idx="0">
                    <c:v>0.155798347231285</c:v>
                  </c:pt>
                  <c:pt idx="1">
                    <c:v>0.25855487812068</c:v>
                  </c:pt>
                  <c:pt idx="2">
                    <c:v>0.259287967325906</c:v>
                  </c:pt>
                  <c:pt idx="3">
                    <c:v>0.292002354442563</c:v>
                  </c:pt>
                </c:numCache>
              </c:numRef>
            </c:plus>
            <c:minus>
              <c:numRef>
                <c:f>'GLR3.4-1'!$V$11:$V$14</c:f>
                <c:numCache>
                  <c:formatCode>General</c:formatCode>
                  <c:ptCount val="4"/>
                  <c:pt idx="0">
                    <c:v>0.155798347231285</c:v>
                  </c:pt>
                  <c:pt idx="1">
                    <c:v>0.25855487812068</c:v>
                  </c:pt>
                  <c:pt idx="2">
                    <c:v>0.259287967325906</c:v>
                  </c:pt>
                  <c:pt idx="3">
                    <c:v>0.292002354442563</c:v>
                  </c:pt>
                </c:numCache>
              </c:numRef>
            </c:minus>
          </c:errBars>
          <c:val>
            <c:numRef>
              <c:f>'GLR3.3-2'!$S$11:$S$14</c:f>
              <c:numCache>
                <c:formatCode>General</c:formatCode>
                <c:ptCount val="4"/>
                <c:pt idx="0">
                  <c:v>0.9215</c:v>
                </c:pt>
                <c:pt idx="1">
                  <c:v>1.5855</c:v>
                </c:pt>
                <c:pt idx="2">
                  <c:v>2.131</c:v>
                </c:pt>
                <c:pt idx="3">
                  <c:v>2.7145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'GLR3.4-1'!$T$10</c:f>
              <c:strCache>
                <c:ptCount val="1"/>
                <c:pt idx="0">
                  <c:v>GLR3.4-1 + FLG22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'GLR3.4-1'!$W$11:$W$14</c:f>
                <c:numCache>
                  <c:formatCode>General</c:formatCode>
                  <c:ptCount val="4"/>
                  <c:pt idx="0">
                    <c:v>0.422671119193162</c:v>
                  </c:pt>
                  <c:pt idx="1">
                    <c:v>0.556034733627316</c:v>
                  </c:pt>
                  <c:pt idx="2">
                    <c:v>0.653010049692958</c:v>
                  </c:pt>
                  <c:pt idx="3">
                    <c:v>0.54347757543435</c:v>
                  </c:pt>
                </c:numCache>
              </c:numRef>
            </c:plus>
            <c:minus>
              <c:numRef>
                <c:f>'GLR3.4-1'!$W$11:$W$14</c:f>
                <c:numCache>
                  <c:formatCode>General</c:formatCode>
                  <c:ptCount val="4"/>
                  <c:pt idx="0">
                    <c:v>0.422671119193162</c:v>
                  </c:pt>
                  <c:pt idx="1">
                    <c:v>0.556034733627316</c:v>
                  </c:pt>
                  <c:pt idx="2">
                    <c:v>0.653010049692958</c:v>
                  </c:pt>
                  <c:pt idx="3">
                    <c:v>0.54347757543435</c:v>
                  </c:pt>
                </c:numCache>
              </c:numRef>
            </c:minus>
          </c:errBars>
          <c:val>
            <c:numRef>
              <c:f>'GLR3.3-2'!$T$11:$T$14</c:f>
              <c:numCache>
                <c:formatCode>General</c:formatCode>
                <c:ptCount val="4"/>
                <c:pt idx="0">
                  <c:v>0.7065</c:v>
                </c:pt>
                <c:pt idx="1">
                  <c:v>1.034</c:v>
                </c:pt>
                <c:pt idx="2">
                  <c:v>1.2175</c:v>
                </c:pt>
                <c:pt idx="3">
                  <c:v>1.4195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'GLR3.4-1'!$U$10</c:f>
              <c:strCache>
                <c:ptCount val="1"/>
                <c:pt idx="0">
                  <c:v>GLR3.4-1 + Pathogen</c:v>
                </c:pt>
              </c:strCache>
            </c:strRef>
          </c:tx>
          <c:marker>
            <c:symbol val="none"/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'GLR3.4-1'!$X$11:$X$14</c:f>
                <c:numCache>
                  <c:formatCode>General</c:formatCode>
                  <c:ptCount val="4"/>
                  <c:pt idx="0">
                    <c:v>0.51052583186358</c:v>
                  </c:pt>
                  <c:pt idx="1">
                    <c:v>0.8029042595478</c:v>
                  </c:pt>
                  <c:pt idx="2">
                    <c:v>0.899745797433919</c:v>
                  </c:pt>
                  <c:pt idx="3">
                    <c:v>1.202437784253305</c:v>
                  </c:pt>
                </c:numCache>
              </c:numRef>
            </c:plus>
            <c:minus>
              <c:numRef>
                <c:f>'GLR3.4-1'!$X$11:$X$14</c:f>
                <c:numCache>
                  <c:formatCode>General</c:formatCode>
                  <c:ptCount val="4"/>
                  <c:pt idx="0">
                    <c:v>0.51052583186358</c:v>
                  </c:pt>
                  <c:pt idx="1">
                    <c:v>0.8029042595478</c:v>
                  </c:pt>
                  <c:pt idx="2">
                    <c:v>0.899745797433919</c:v>
                  </c:pt>
                  <c:pt idx="3">
                    <c:v>1.202437784253305</c:v>
                  </c:pt>
                </c:numCache>
              </c:numRef>
            </c:minus>
          </c:errBars>
          <c:val>
            <c:numRef>
              <c:f>'GLR3.3-2'!$U$11:$U$14</c:f>
              <c:numCache>
                <c:formatCode>General</c:formatCode>
                <c:ptCount val="4"/>
                <c:pt idx="0">
                  <c:v>0.722</c:v>
                </c:pt>
                <c:pt idx="1">
                  <c:v>0.8875</c:v>
                </c:pt>
                <c:pt idx="2">
                  <c:v>0.793</c:v>
                </c:pt>
                <c:pt idx="3">
                  <c:v>0.6205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049704"/>
        <c:axId val="-2139053272"/>
      </c:lineChart>
      <c:catAx>
        <c:axId val="-213904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053272"/>
        <c:crosses val="autoZero"/>
        <c:auto val="1"/>
        <c:lblAlgn val="ctr"/>
        <c:lblOffset val="100"/>
        <c:noMultiLvlLbl val="0"/>
      </c:catAx>
      <c:valAx>
        <c:axId val="-2139053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Rosette</a:t>
                </a:r>
                <a:r>
                  <a:rPr lang="en-US" baseline="0"/>
                  <a:t> size (cm2)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049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495300</xdr:colOff>
      <xdr:row>20</xdr:row>
      <xdr:rowOff>101600</xdr:rowOff>
    </xdr:from>
    <xdr:to>
      <xdr:col>23</xdr:col>
      <xdr:colOff>190500</xdr:colOff>
      <xdr:row>34</xdr:row>
      <xdr:rowOff>177800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17</xdr:row>
      <xdr:rowOff>0</xdr:rowOff>
    </xdr:from>
    <xdr:to>
      <xdr:col>22</xdr:col>
      <xdr:colOff>444500</xdr:colOff>
      <xdr:row>31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16</xdr:row>
      <xdr:rowOff>0</xdr:rowOff>
    </xdr:from>
    <xdr:to>
      <xdr:col>22</xdr:col>
      <xdr:colOff>444500</xdr:colOff>
      <xdr:row>30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18</xdr:row>
      <xdr:rowOff>0</xdr:rowOff>
    </xdr:from>
    <xdr:to>
      <xdr:col>22</xdr:col>
      <xdr:colOff>444500</xdr:colOff>
      <xdr:row>32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16</xdr:row>
      <xdr:rowOff>0</xdr:rowOff>
    </xdr:from>
    <xdr:to>
      <xdr:col>23</xdr:col>
      <xdr:colOff>444500</xdr:colOff>
      <xdr:row>30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14</xdr:row>
      <xdr:rowOff>0</xdr:rowOff>
    </xdr:from>
    <xdr:to>
      <xdr:col>23</xdr:col>
      <xdr:colOff>444500</xdr:colOff>
      <xdr:row>28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15</xdr:row>
      <xdr:rowOff>0</xdr:rowOff>
    </xdr:from>
    <xdr:to>
      <xdr:col>22</xdr:col>
      <xdr:colOff>444500</xdr:colOff>
      <xdr:row>29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16</xdr:row>
      <xdr:rowOff>101600</xdr:rowOff>
    </xdr:from>
    <xdr:to>
      <xdr:col>22</xdr:col>
      <xdr:colOff>749300</xdr:colOff>
      <xdr:row>30</xdr:row>
      <xdr:rowOff>177800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B5" sqref="A5:B5"/>
    </sheetView>
  </sheetViews>
  <sheetFormatPr baseColWidth="10" defaultRowHeight="15"/>
  <cols>
    <col min="1" max="1" width="48.332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K1" t="s">
        <v>2</v>
      </c>
      <c r="L1" t="s">
        <v>3</v>
      </c>
      <c r="M1" t="s">
        <v>1</v>
      </c>
      <c r="N1" t="s">
        <v>6</v>
      </c>
      <c r="R1" t="s">
        <v>9</v>
      </c>
      <c r="S1" t="s">
        <v>10</v>
      </c>
      <c r="T1" t="s">
        <v>19</v>
      </c>
    </row>
    <row r="2" spans="1:20">
      <c r="A2" t="s">
        <v>7</v>
      </c>
      <c r="B2" t="s">
        <v>8</v>
      </c>
      <c r="C2">
        <v>3</v>
      </c>
      <c r="D2" t="s">
        <v>9</v>
      </c>
      <c r="E2">
        <v>2261</v>
      </c>
      <c r="F2">
        <v>842</v>
      </c>
      <c r="G2">
        <v>10.74</v>
      </c>
      <c r="H2">
        <v>2.685</v>
      </c>
      <c r="K2">
        <v>0</v>
      </c>
      <c r="L2" t="s">
        <v>19</v>
      </c>
      <c r="M2" t="s">
        <v>41</v>
      </c>
      <c r="N2">
        <v>0.275</v>
      </c>
    </row>
    <row r="3" spans="1:20">
      <c r="A3" t="s">
        <v>12</v>
      </c>
      <c r="B3" t="s">
        <v>13</v>
      </c>
      <c r="C3">
        <v>3</v>
      </c>
      <c r="D3" t="s">
        <v>9</v>
      </c>
      <c r="E3">
        <v>643</v>
      </c>
      <c r="F3">
        <v>866</v>
      </c>
      <c r="G3">
        <v>2.97</v>
      </c>
      <c r="H3">
        <v>0.7425</v>
      </c>
      <c r="K3">
        <v>0</v>
      </c>
      <c r="L3" t="s">
        <v>19</v>
      </c>
      <c r="M3" t="s">
        <v>41</v>
      </c>
      <c r="N3">
        <v>0.0975</v>
      </c>
    </row>
    <row r="4" spans="1:20">
      <c r="A4" t="s">
        <v>15</v>
      </c>
      <c r="B4" t="s">
        <v>16</v>
      </c>
      <c r="C4">
        <v>3</v>
      </c>
      <c r="D4" t="s">
        <v>9</v>
      </c>
      <c r="E4">
        <v>1784</v>
      </c>
      <c r="F4">
        <v>866</v>
      </c>
      <c r="G4">
        <v>8.24</v>
      </c>
      <c r="H4">
        <v>2.06</v>
      </c>
      <c r="K4">
        <v>0</v>
      </c>
      <c r="L4" t="s">
        <v>19</v>
      </c>
      <c r="M4" t="s">
        <v>41</v>
      </c>
      <c r="N4">
        <v>0.13</v>
      </c>
    </row>
    <row r="5" spans="1:20">
      <c r="A5" t="s">
        <v>17</v>
      </c>
      <c r="B5" t="s">
        <v>18</v>
      </c>
      <c r="C5">
        <v>3</v>
      </c>
      <c r="D5" t="s">
        <v>9</v>
      </c>
      <c r="E5">
        <v>1569</v>
      </c>
      <c r="F5">
        <v>870</v>
      </c>
      <c r="G5">
        <v>7.21</v>
      </c>
      <c r="H5">
        <v>1.8025</v>
      </c>
      <c r="K5">
        <v>0</v>
      </c>
      <c r="L5" t="s">
        <v>19</v>
      </c>
      <c r="M5" t="s">
        <v>41</v>
      </c>
      <c r="N5">
        <v>0.1675</v>
      </c>
    </row>
    <row r="6" spans="1:20">
      <c r="A6" t="s">
        <v>21</v>
      </c>
      <c r="B6" t="s">
        <v>22</v>
      </c>
      <c r="C6">
        <v>3</v>
      </c>
      <c r="D6" t="s">
        <v>9</v>
      </c>
      <c r="E6">
        <v>346</v>
      </c>
      <c r="F6">
        <v>841</v>
      </c>
      <c r="G6">
        <v>1.65</v>
      </c>
      <c r="H6">
        <v>0.4125</v>
      </c>
      <c r="K6">
        <v>1</v>
      </c>
      <c r="L6" t="s">
        <v>19</v>
      </c>
      <c r="M6" t="s">
        <v>41</v>
      </c>
      <c r="N6">
        <v>0.21</v>
      </c>
    </row>
    <row r="7" spans="1:20">
      <c r="A7" t="s">
        <v>23</v>
      </c>
      <c r="B7" t="s">
        <v>8</v>
      </c>
      <c r="C7">
        <v>2</v>
      </c>
      <c r="D7" t="s">
        <v>9</v>
      </c>
      <c r="E7">
        <v>1726</v>
      </c>
      <c r="F7">
        <v>841</v>
      </c>
      <c r="G7">
        <v>8.21</v>
      </c>
      <c r="H7">
        <v>2.0525</v>
      </c>
      <c r="K7">
        <v>1</v>
      </c>
      <c r="L7" t="s">
        <v>19</v>
      </c>
      <c r="M7" t="s">
        <v>41</v>
      </c>
      <c r="N7">
        <v>0.145</v>
      </c>
    </row>
    <row r="8" spans="1:20">
      <c r="A8" t="s">
        <v>24</v>
      </c>
      <c r="B8" t="s">
        <v>13</v>
      </c>
      <c r="C8">
        <v>2</v>
      </c>
      <c r="D8" t="s">
        <v>9</v>
      </c>
      <c r="E8">
        <v>431</v>
      </c>
      <c r="F8">
        <v>857</v>
      </c>
      <c r="G8">
        <v>2.01</v>
      </c>
      <c r="H8">
        <v>0.5025</v>
      </c>
      <c r="K8">
        <v>1</v>
      </c>
      <c r="L8" t="s">
        <v>19</v>
      </c>
      <c r="M8" t="s">
        <v>41</v>
      </c>
      <c r="N8">
        <v>0.1575</v>
      </c>
    </row>
    <row r="9" spans="1:20">
      <c r="A9" t="s">
        <v>25</v>
      </c>
      <c r="B9" t="s">
        <v>16</v>
      </c>
      <c r="C9">
        <v>2</v>
      </c>
      <c r="D9" t="s">
        <v>9</v>
      </c>
      <c r="E9">
        <v>1366</v>
      </c>
      <c r="F9">
        <v>881</v>
      </c>
      <c r="G9">
        <v>6.2</v>
      </c>
      <c r="H9">
        <v>1.55</v>
      </c>
      <c r="K9">
        <v>1</v>
      </c>
      <c r="L9" t="s">
        <v>19</v>
      </c>
      <c r="M9" t="s">
        <v>41</v>
      </c>
      <c r="N9">
        <v>0.26</v>
      </c>
    </row>
    <row r="10" spans="1:20">
      <c r="A10" t="s">
        <v>26</v>
      </c>
      <c r="B10" t="s">
        <v>18</v>
      </c>
      <c r="C10">
        <v>2</v>
      </c>
      <c r="D10" t="s">
        <v>9</v>
      </c>
      <c r="E10">
        <v>1421</v>
      </c>
      <c r="F10">
        <v>841</v>
      </c>
      <c r="G10">
        <v>6.76</v>
      </c>
      <c r="H10">
        <v>1.69</v>
      </c>
      <c r="K10">
        <v>2</v>
      </c>
      <c r="L10" t="s">
        <v>19</v>
      </c>
      <c r="M10" t="s">
        <v>41</v>
      </c>
      <c r="N10">
        <v>0.175</v>
      </c>
    </row>
    <row r="11" spans="1:20">
      <c r="A11" t="s">
        <v>27</v>
      </c>
      <c r="B11" t="s">
        <v>22</v>
      </c>
      <c r="C11">
        <v>2</v>
      </c>
      <c r="D11" t="s">
        <v>9</v>
      </c>
      <c r="E11">
        <v>219</v>
      </c>
      <c r="F11">
        <v>841</v>
      </c>
      <c r="G11">
        <v>1.04</v>
      </c>
      <c r="H11">
        <v>0.26</v>
      </c>
      <c r="K11">
        <v>2</v>
      </c>
      <c r="L11" t="s">
        <v>19</v>
      </c>
      <c r="M11" t="s">
        <v>41</v>
      </c>
      <c r="N11">
        <v>0.1175</v>
      </c>
    </row>
    <row r="12" spans="1:20">
      <c r="A12" t="s">
        <v>28</v>
      </c>
      <c r="B12" t="s">
        <v>8</v>
      </c>
      <c r="C12">
        <v>1</v>
      </c>
      <c r="D12" t="s">
        <v>9</v>
      </c>
      <c r="E12">
        <v>1574</v>
      </c>
      <c r="F12">
        <v>863</v>
      </c>
      <c r="G12">
        <v>7.3</v>
      </c>
      <c r="H12">
        <v>1.825</v>
      </c>
      <c r="K12">
        <v>2</v>
      </c>
      <c r="L12" t="s">
        <v>19</v>
      </c>
      <c r="M12" t="s">
        <v>41</v>
      </c>
      <c r="N12">
        <v>0.0625</v>
      </c>
    </row>
    <row r="13" spans="1:20">
      <c r="A13" t="s">
        <v>29</v>
      </c>
      <c r="B13" t="s">
        <v>13</v>
      </c>
      <c r="C13">
        <v>1</v>
      </c>
      <c r="D13" t="s">
        <v>9</v>
      </c>
      <c r="E13">
        <v>326</v>
      </c>
      <c r="F13">
        <v>860</v>
      </c>
      <c r="G13">
        <v>1.52</v>
      </c>
      <c r="H13">
        <v>0.38</v>
      </c>
      <c r="K13">
        <v>2</v>
      </c>
      <c r="L13" t="s">
        <v>19</v>
      </c>
      <c r="M13" t="s">
        <v>41</v>
      </c>
      <c r="N13">
        <v>0.1725</v>
      </c>
    </row>
    <row r="14" spans="1:20">
      <c r="A14" t="s">
        <v>30</v>
      </c>
      <c r="B14" t="s">
        <v>16</v>
      </c>
      <c r="C14">
        <v>1</v>
      </c>
      <c r="D14" t="s">
        <v>9</v>
      </c>
      <c r="E14">
        <v>1008</v>
      </c>
      <c r="F14">
        <v>841</v>
      </c>
      <c r="G14">
        <v>4.79</v>
      </c>
      <c r="H14">
        <v>1.1975</v>
      </c>
      <c r="K14">
        <v>3</v>
      </c>
      <c r="L14" t="s">
        <v>19</v>
      </c>
      <c r="M14" t="s">
        <v>41</v>
      </c>
      <c r="N14">
        <v>0.03</v>
      </c>
    </row>
    <row r="15" spans="1:20">
      <c r="A15" t="s">
        <v>31</v>
      </c>
      <c r="B15" t="s">
        <v>18</v>
      </c>
      <c r="C15">
        <v>1</v>
      </c>
      <c r="D15" t="s">
        <v>9</v>
      </c>
      <c r="E15">
        <v>1159</v>
      </c>
      <c r="F15">
        <v>870</v>
      </c>
      <c r="G15">
        <v>5.33</v>
      </c>
      <c r="H15">
        <v>1.3325</v>
      </c>
      <c r="K15">
        <v>3</v>
      </c>
      <c r="L15" t="s">
        <v>19</v>
      </c>
      <c r="M15" t="s">
        <v>41</v>
      </c>
      <c r="N15">
        <v>0.0125</v>
      </c>
    </row>
    <row r="16" spans="1:20">
      <c r="A16" t="s">
        <v>32</v>
      </c>
      <c r="B16" t="s">
        <v>22</v>
      </c>
      <c r="C16">
        <v>1</v>
      </c>
      <c r="D16" t="s">
        <v>9</v>
      </c>
      <c r="E16">
        <v>188</v>
      </c>
      <c r="F16">
        <v>841</v>
      </c>
      <c r="G16">
        <v>0.89</v>
      </c>
      <c r="H16">
        <v>0.2225</v>
      </c>
      <c r="K16">
        <v>3</v>
      </c>
      <c r="L16" t="s">
        <v>19</v>
      </c>
      <c r="M16" t="s">
        <v>41</v>
      </c>
      <c r="N16">
        <v>0.02</v>
      </c>
    </row>
    <row r="17" spans="1:14">
      <c r="A17" t="s">
        <v>33</v>
      </c>
      <c r="B17" t="s">
        <v>8</v>
      </c>
      <c r="C17">
        <v>0</v>
      </c>
      <c r="D17" t="s">
        <v>9</v>
      </c>
      <c r="E17">
        <v>872</v>
      </c>
      <c r="F17">
        <v>863</v>
      </c>
      <c r="G17">
        <v>4.04</v>
      </c>
      <c r="H17">
        <v>1.01</v>
      </c>
      <c r="K17">
        <v>3</v>
      </c>
      <c r="L17" t="s">
        <v>19</v>
      </c>
      <c r="M17" t="s">
        <v>41</v>
      </c>
      <c r="N17">
        <v>0.03</v>
      </c>
    </row>
    <row r="18" spans="1:14">
      <c r="A18" t="s">
        <v>34</v>
      </c>
      <c r="B18" t="s">
        <v>13</v>
      </c>
      <c r="C18">
        <v>0</v>
      </c>
      <c r="D18" t="s">
        <v>9</v>
      </c>
      <c r="E18">
        <v>155</v>
      </c>
      <c r="F18">
        <v>868</v>
      </c>
      <c r="G18">
        <v>0.71</v>
      </c>
      <c r="H18">
        <v>0.1775</v>
      </c>
      <c r="K18">
        <v>0</v>
      </c>
      <c r="L18" t="s">
        <v>19</v>
      </c>
      <c r="M18" t="s">
        <v>8</v>
      </c>
      <c r="N18">
        <v>1.07</v>
      </c>
    </row>
    <row r="19" spans="1:14">
      <c r="A19" t="s">
        <v>36</v>
      </c>
      <c r="B19" t="s">
        <v>16</v>
      </c>
      <c r="C19">
        <v>0</v>
      </c>
      <c r="D19" t="s">
        <v>9</v>
      </c>
      <c r="E19">
        <v>707</v>
      </c>
      <c r="F19">
        <v>841</v>
      </c>
      <c r="G19">
        <v>3.36</v>
      </c>
      <c r="H19">
        <v>0.84</v>
      </c>
      <c r="K19">
        <v>0</v>
      </c>
      <c r="L19" t="s">
        <v>19</v>
      </c>
      <c r="M19" t="s">
        <v>8</v>
      </c>
      <c r="N19">
        <v>1.3625</v>
      </c>
    </row>
    <row r="20" spans="1:14">
      <c r="A20" t="s">
        <v>37</v>
      </c>
      <c r="B20" t="s">
        <v>18</v>
      </c>
      <c r="C20">
        <v>0</v>
      </c>
      <c r="D20" t="s">
        <v>9</v>
      </c>
      <c r="E20">
        <v>805</v>
      </c>
      <c r="F20">
        <v>841</v>
      </c>
      <c r="G20">
        <v>3.83</v>
      </c>
      <c r="H20">
        <v>0.9575</v>
      </c>
      <c r="K20">
        <v>0</v>
      </c>
      <c r="L20" t="s">
        <v>19</v>
      </c>
      <c r="M20" t="s">
        <v>8</v>
      </c>
      <c r="N20">
        <v>0.745</v>
      </c>
    </row>
    <row r="21" spans="1:14">
      <c r="A21" t="s">
        <v>38</v>
      </c>
      <c r="B21" t="s">
        <v>22</v>
      </c>
      <c r="C21">
        <v>0</v>
      </c>
      <c r="D21" t="s">
        <v>9</v>
      </c>
      <c r="E21">
        <v>123</v>
      </c>
      <c r="F21">
        <v>841</v>
      </c>
      <c r="G21">
        <v>0.59</v>
      </c>
      <c r="H21">
        <v>0.1475</v>
      </c>
      <c r="K21">
        <v>0</v>
      </c>
      <c r="L21" t="s">
        <v>19</v>
      </c>
      <c r="M21" t="s">
        <v>8</v>
      </c>
      <c r="N21">
        <v>2.775</v>
      </c>
    </row>
    <row r="22" spans="1:14">
      <c r="A22" t="s">
        <v>39</v>
      </c>
      <c r="B22" t="s">
        <v>8</v>
      </c>
      <c r="C22">
        <v>3</v>
      </c>
      <c r="D22" t="s">
        <v>19</v>
      </c>
      <c r="E22">
        <v>550</v>
      </c>
      <c r="F22">
        <v>841</v>
      </c>
      <c r="G22">
        <v>2.62</v>
      </c>
      <c r="H22">
        <v>0.655</v>
      </c>
      <c r="K22">
        <v>0</v>
      </c>
      <c r="L22" t="s">
        <v>19</v>
      </c>
      <c r="M22" t="s">
        <v>8</v>
      </c>
      <c r="N22">
        <v>1.3475</v>
      </c>
    </row>
    <row r="23" spans="1:14">
      <c r="A23" t="s">
        <v>40</v>
      </c>
      <c r="B23" t="s">
        <v>41</v>
      </c>
      <c r="C23">
        <v>3</v>
      </c>
      <c r="D23" t="s">
        <v>19</v>
      </c>
      <c r="E23">
        <v>25</v>
      </c>
      <c r="F23">
        <v>841</v>
      </c>
      <c r="G23">
        <v>0.12</v>
      </c>
      <c r="H23">
        <v>0.03</v>
      </c>
      <c r="K23">
        <v>1</v>
      </c>
      <c r="L23" t="s">
        <v>19</v>
      </c>
      <c r="M23" t="s">
        <v>8</v>
      </c>
      <c r="N23">
        <v>1.23</v>
      </c>
    </row>
    <row r="24" spans="1:14">
      <c r="A24" t="s">
        <v>42</v>
      </c>
      <c r="B24" t="s">
        <v>13</v>
      </c>
      <c r="C24">
        <v>3</v>
      </c>
      <c r="D24" t="s">
        <v>19</v>
      </c>
      <c r="E24">
        <v>494</v>
      </c>
      <c r="F24">
        <v>841</v>
      </c>
      <c r="G24">
        <v>2.35</v>
      </c>
      <c r="H24">
        <v>0.5875</v>
      </c>
      <c r="K24">
        <v>1</v>
      </c>
      <c r="L24" t="s">
        <v>19</v>
      </c>
      <c r="M24" t="s">
        <v>8</v>
      </c>
      <c r="N24">
        <v>1.015</v>
      </c>
    </row>
    <row r="25" spans="1:14">
      <c r="A25" t="s">
        <v>43</v>
      </c>
      <c r="B25" t="s">
        <v>16</v>
      </c>
      <c r="C25">
        <v>3</v>
      </c>
      <c r="D25" t="s">
        <v>19</v>
      </c>
      <c r="E25">
        <v>288</v>
      </c>
      <c r="F25">
        <v>841</v>
      </c>
      <c r="G25">
        <v>1.37</v>
      </c>
      <c r="H25">
        <v>0.3425</v>
      </c>
      <c r="K25">
        <v>1</v>
      </c>
      <c r="L25" t="s">
        <v>19</v>
      </c>
      <c r="M25" t="s">
        <v>8</v>
      </c>
      <c r="N25">
        <v>1.7725</v>
      </c>
    </row>
    <row r="26" spans="1:14">
      <c r="A26" t="s">
        <v>44</v>
      </c>
      <c r="B26" t="s">
        <v>20</v>
      </c>
      <c r="C26">
        <v>3</v>
      </c>
      <c r="D26" t="s">
        <v>19</v>
      </c>
      <c r="E26">
        <v>341</v>
      </c>
      <c r="F26">
        <v>873</v>
      </c>
      <c r="G26">
        <v>1.56</v>
      </c>
      <c r="H26">
        <v>0.39</v>
      </c>
      <c r="K26">
        <v>1</v>
      </c>
      <c r="L26" t="s">
        <v>19</v>
      </c>
      <c r="M26" t="s">
        <v>8</v>
      </c>
      <c r="N26">
        <v>0.8425</v>
      </c>
    </row>
    <row r="27" spans="1:14">
      <c r="A27" t="s">
        <v>45</v>
      </c>
      <c r="B27" t="s">
        <v>35</v>
      </c>
      <c r="C27">
        <v>3</v>
      </c>
      <c r="D27" t="s">
        <v>19</v>
      </c>
      <c r="E27">
        <v>303</v>
      </c>
      <c r="F27">
        <v>841</v>
      </c>
      <c r="G27">
        <v>1.44</v>
      </c>
      <c r="H27">
        <v>0.36</v>
      </c>
      <c r="K27">
        <v>1</v>
      </c>
      <c r="L27" t="s">
        <v>19</v>
      </c>
      <c r="M27" t="s">
        <v>8</v>
      </c>
      <c r="N27">
        <v>3.105</v>
      </c>
    </row>
    <row r="28" spans="1:14">
      <c r="A28" t="s">
        <v>46</v>
      </c>
      <c r="B28" t="s">
        <v>18</v>
      </c>
      <c r="C28">
        <v>3</v>
      </c>
      <c r="D28" t="s">
        <v>19</v>
      </c>
      <c r="E28">
        <v>324</v>
      </c>
      <c r="F28">
        <v>841</v>
      </c>
      <c r="G28">
        <v>1.54</v>
      </c>
      <c r="H28">
        <v>0.385</v>
      </c>
      <c r="K28">
        <v>2</v>
      </c>
      <c r="L28" t="s">
        <v>19</v>
      </c>
      <c r="M28" t="s">
        <v>8</v>
      </c>
      <c r="N28">
        <v>1.0225</v>
      </c>
    </row>
    <row r="29" spans="1:14">
      <c r="A29" t="s">
        <v>47</v>
      </c>
      <c r="B29" t="s">
        <v>22</v>
      </c>
      <c r="C29">
        <v>3</v>
      </c>
      <c r="D29" t="s">
        <v>19</v>
      </c>
      <c r="E29">
        <v>268</v>
      </c>
      <c r="F29">
        <v>841</v>
      </c>
      <c r="G29">
        <v>1.27</v>
      </c>
      <c r="H29">
        <v>0.3175</v>
      </c>
      <c r="K29">
        <v>2</v>
      </c>
      <c r="L29" t="s">
        <v>19</v>
      </c>
      <c r="M29" t="s">
        <v>8</v>
      </c>
      <c r="N29">
        <v>0.9175</v>
      </c>
    </row>
    <row r="30" spans="1:14">
      <c r="A30" t="s">
        <v>48</v>
      </c>
      <c r="B30" t="s">
        <v>8</v>
      </c>
      <c r="C30">
        <v>3</v>
      </c>
      <c r="D30" t="s">
        <v>19</v>
      </c>
      <c r="E30">
        <v>559</v>
      </c>
      <c r="F30">
        <v>841</v>
      </c>
      <c r="G30">
        <v>2.66</v>
      </c>
      <c r="H30">
        <v>0.665</v>
      </c>
      <c r="K30">
        <v>2</v>
      </c>
      <c r="L30" t="s">
        <v>19</v>
      </c>
      <c r="M30" t="s">
        <v>8</v>
      </c>
      <c r="N30">
        <v>1.7725</v>
      </c>
    </row>
    <row r="31" spans="1:14">
      <c r="A31" t="s">
        <v>49</v>
      </c>
      <c r="B31" t="s">
        <v>41</v>
      </c>
      <c r="C31">
        <v>3</v>
      </c>
      <c r="D31" t="s">
        <v>19</v>
      </c>
      <c r="E31">
        <v>11</v>
      </c>
      <c r="F31">
        <v>867</v>
      </c>
      <c r="G31">
        <v>0.05</v>
      </c>
      <c r="H31">
        <v>0.0125</v>
      </c>
      <c r="K31">
        <v>2</v>
      </c>
      <c r="L31" t="s">
        <v>19</v>
      </c>
      <c r="M31" t="s">
        <v>8</v>
      </c>
      <c r="N31">
        <v>0.625</v>
      </c>
    </row>
    <row r="32" spans="1:14">
      <c r="A32" t="s">
        <v>50</v>
      </c>
      <c r="B32" t="s">
        <v>13</v>
      </c>
      <c r="C32">
        <v>3</v>
      </c>
      <c r="D32" t="s">
        <v>19</v>
      </c>
      <c r="E32">
        <v>352</v>
      </c>
      <c r="F32">
        <v>841</v>
      </c>
      <c r="G32">
        <v>1.67</v>
      </c>
      <c r="H32">
        <v>0.4175</v>
      </c>
      <c r="K32">
        <v>2</v>
      </c>
      <c r="L32" t="s">
        <v>19</v>
      </c>
      <c r="M32" t="s">
        <v>8</v>
      </c>
      <c r="N32">
        <v>2.8375</v>
      </c>
    </row>
    <row r="33" spans="1:14">
      <c r="A33" t="s">
        <v>51</v>
      </c>
      <c r="B33" t="s">
        <v>16</v>
      </c>
      <c r="C33">
        <v>3</v>
      </c>
      <c r="D33" t="s">
        <v>19</v>
      </c>
      <c r="E33">
        <v>691</v>
      </c>
      <c r="F33">
        <v>860</v>
      </c>
      <c r="G33">
        <v>3.21</v>
      </c>
      <c r="H33">
        <v>0.8025</v>
      </c>
      <c r="K33">
        <v>3</v>
      </c>
      <c r="L33" t="s">
        <v>19</v>
      </c>
      <c r="M33" t="s">
        <v>8</v>
      </c>
      <c r="N33">
        <v>0.655</v>
      </c>
    </row>
    <row r="34" spans="1:14">
      <c r="A34" t="s">
        <v>52</v>
      </c>
      <c r="B34" t="s">
        <v>20</v>
      </c>
      <c r="C34">
        <v>3</v>
      </c>
      <c r="D34" t="s">
        <v>19</v>
      </c>
      <c r="E34">
        <v>1188</v>
      </c>
      <c r="F34">
        <v>869</v>
      </c>
      <c r="G34">
        <v>5.47</v>
      </c>
      <c r="H34">
        <v>1.3675</v>
      </c>
      <c r="K34">
        <v>3</v>
      </c>
      <c r="L34" t="s">
        <v>19</v>
      </c>
      <c r="M34" t="s">
        <v>8</v>
      </c>
      <c r="N34">
        <v>0.665</v>
      </c>
    </row>
    <row r="35" spans="1:14">
      <c r="A35" t="s">
        <v>53</v>
      </c>
      <c r="B35" t="s">
        <v>35</v>
      </c>
      <c r="C35">
        <v>3</v>
      </c>
      <c r="D35" t="s">
        <v>19</v>
      </c>
      <c r="E35">
        <v>523</v>
      </c>
      <c r="F35">
        <v>869</v>
      </c>
      <c r="G35">
        <v>2.41</v>
      </c>
      <c r="H35">
        <v>0.6025</v>
      </c>
      <c r="K35">
        <v>3</v>
      </c>
      <c r="L35" t="s">
        <v>19</v>
      </c>
      <c r="M35" t="s">
        <v>8</v>
      </c>
      <c r="N35">
        <v>1.21</v>
      </c>
    </row>
    <row r="36" spans="1:14">
      <c r="A36" t="s">
        <v>54</v>
      </c>
      <c r="B36" t="s">
        <v>18</v>
      </c>
      <c r="C36">
        <v>3</v>
      </c>
      <c r="D36" t="s">
        <v>19</v>
      </c>
      <c r="E36">
        <v>337</v>
      </c>
      <c r="F36">
        <v>841</v>
      </c>
      <c r="G36">
        <v>1.6</v>
      </c>
      <c r="H36">
        <v>0.4</v>
      </c>
      <c r="K36">
        <v>3</v>
      </c>
      <c r="L36" t="s">
        <v>19</v>
      </c>
      <c r="M36" t="s">
        <v>8</v>
      </c>
      <c r="N36">
        <v>0.5</v>
      </c>
    </row>
    <row r="37" spans="1:14">
      <c r="A37" t="s">
        <v>55</v>
      </c>
      <c r="B37" t="s">
        <v>22</v>
      </c>
      <c r="C37">
        <v>3</v>
      </c>
      <c r="D37" t="s">
        <v>19</v>
      </c>
      <c r="E37">
        <v>506</v>
      </c>
      <c r="F37">
        <v>841</v>
      </c>
      <c r="G37">
        <v>2.41</v>
      </c>
      <c r="H37">
        <v>0.6025</v>
      </c>
      <c r="K37">
        <v>3</v>
      </c>
      <c r="L37" t="s">
        <v>19</v>
      </c>
      <c r="M37" t="s">
        <v>8</v>
      </c>
      <c r="N37">
        <v>1.445</v>
      </c>
    </row>
    <row r="38" spans="1:14">
      <c r="A38" t="s">
        <v>56</v>
      </c>
      <c r="B38" t="s">
        <v>8</v>
      </c>
      <c r="C38">
        <v>3</v>
      </c>
      <c r="D38" t="s">
        <v>19</v>
      </c>
      <c r="E38">
        <v>1052</v>
      </c>
      <c r="F38">
        <v>870</v>
      </c>
      <c r="G38">
        <v>4.84</v>
      </c>
      <c r="H38">
        <v>1.21</v>
      </c>
      <c r="K38">
        <v>0</v>
      </c>
      <c r="L38" t="s">
        <v>19</v>
      </c>
      <c r="M38" t="s">
        <v>22</v>
      </c>
      <c r="N38">
        <v>0.6175</v>
      </c>
    </row>
    <row r="39" spans="1:14">
      <c r="A39" t="s">
        <v>57</v>
      </c>
      <c r="B39" t="s">
        <v>41</v>
      </c>
      <c r="C39">
        <v>3</v>
      </c>
      <c r="D39" t="s">
        <v>19</v>
      </c>
      <c r="E39">
        <v>18</v>
      </c>
      <c r="F39">
        <v>863</v>
      </c>
      <c r="G39">
        <v>0.08</v>
      </c>
      <c r="H39">
        <v>0.02</v>
      </c>
      <c r="K39">
        <v>0</v>
      </c>
      <c r="L39" t="s">
        <v>19</v>
      </c>
      <c r="M39" t="s">
        <v>22</v>
      </c>
      <c r="N39">
        <v>0.67</v>
      </c>
    </row>
    <row r="40" spans="1:14">
      <c r="A40" t="s">
        <v>58</v>
      </c>
      <c r="B40" t="s">
        <v>13</v>
      </c>
      <c r="C40">
        <v>3</v>
      </c>
      <c r="D40" t="s">
        <v>19</v>
      </c>
      <c r="E40">
        <v>344</v>
      </c>
      <c r="F40">
        <v>870</v>
      </c>
      <c r="G40">
        <v>1.58</v>
      </c>
      <c r="H40">
        <v>0.395</v>
      </c>
      <c r="K40">
        <v>0</v>
      </c>
      <c r="L40" t="s">
        <v>19</v>
      </c>
      <c r="M40" t="s">
        <v>22</v>
      </c>
      <c r="N40">
        <v>0.6475</v>
      </c>
    </row>
    <row r="41" spans="1:14">
      <c r="A41" t="s">
        <v>59</v>
      </c>
      <c r="B41" t="s">
        <v>16</v>
      </c>
      <c r="C41">
        <v>3</v>
      </c>
      <c r="D41" t="s">
        <v>19</v>
      </c>
      <c r="E41">
        <v>987</v>
      </c>
      <c r="F41">
        <v>842</v>
      </c>
      <c r="G41">
        <v>4.69</v>
      </c>
      <c r="H41">
        <v>1.1725</v>
      </c>
      <c r="K41">
        <v>0</v>
      </c>
      <c r="L41" t="s">
        <v>19</v>
      </c>
      <c r="M41" t="s">
        <v>22</v>
      </c>
      <c r="N41">
        <v>1.4175</v>
      </c>
    </row>
    <row r="42" spans="1:14">
      <c r="A42" t="s">
        <v>60</v>
      </c>
      <c r="B42" t="s">
        <v>20</v>
      </c>
      <c r="C42">
        <v>3</v>
      </c>
      <c r="D42" t="s">
        <v>19</v>
      </c>
      <c r="E42">
        <v>956</v>
      </c>
      <c r="F42">
        <v>861</v>
      </c>
      <c r="G42">
        <v>4.44</v>
      </c>
      <c r="H42">
        <v>1.11</v>
      </c>
      <c r="K42">
        <v>0</v>
      </c>
      <c r="L42" t="s">
        <v>19</v>
      </c>
      <c r="M42" t="s">
        <v>22</v>
      </c>
      <c r="N42">
        <v>0.5425</v>
      </c>
    </row>
    <row r="43" spans="1:14">
      <c r="A43" t="s">
        <v>61</v>
      </c>
      <c r="B43" t="s">
        <v>35</v>
      </c>
      <c r="C43">
        <v>3</v>
      </c>
      <c r="D43" t="s">
        <v>19</v>
      </c>
      <c r="E43">
        <v>683</v>
      </c>
      <c r="F43">
        <v>852</v>
      </c>
      <c r="G43">
        <v>3.21</v>
      </c>
      <c r="H43">
        <v>0.8025</v>
      </c>
      <c r="K43">
        <v>1</v>
      </c>
      <c r="L43" t="s">
        <v>19</v>
      </c>
      <c r="M43" t="s">
        <v>22</v>
      </c>
      <c r="N43">
        <v>0.5475</v>
      </c>
    </row>
    <row r="44" spans="1:14">
      <c r="A44" t="s">
        <v>62</v>
      </c>
      <c r="B44" t="s">
        <v>18</v>
      </c>
      <c r="C44">
        <v>3</v>
      </c>
      <c r="D44" t="s">
        <v>19</v>
      </c>
      <c r="E44">
        <v>564</v>
      </c>
      <c r="F44">
        <v>842</v>
      </c>
      <c r="G44">
        <v>2.68</v>
      </c>
      <c r="H44">
        <v>0.67</v>
      </c>
      <c r="K44">
        <v>1</v>
      </c>
      <c r="L44" t="s">
        <v>19</v>
      </c>
      <c r="M44" t="s">
        <v>22</v>
      </c>
      <c r="N44">
        <v>0.8275</v>
      </c>
    </row>
    <row r="45" spans="1:14">
      <c r="A45" t="s">
        <v>63</v>
      </c>
      <c r="B45" t="s">
        <v>22</v>
      </c>
      <c r="C45">
        <v>3</v>
      </c>
      <c r="D45" t="s">
        <v>19</v>
      </c>
      <c r="E45">
        <v>473</v>
      </c>
      <c r="F45">
        <v>841</v>
      </c>
      <c r="G45">
        <v>2.25</v>
      </c>
      <c r="H45">
        <v>0.5625</v>
      </c>
      <c r="K45">
        <v>1</v>
      </c>
      <c r="L45" t="s">
        <v>19</v>
      </c>
      <c r="M45" t="s">
        <v>22</v>
      </c>
      <c r="N45">
        <v>0.8425</v>
      </c>
    </row>
    <row r="46" spans="1:14">
      <c r="A46" t="s">
        <v>64</v>
      </c>
      <c r="B46" t="s">
        <v>8</v>
      </c>
      <c r="C46">
        <v>3</v>
      </c>
      <c r="D46" t="s">
        <v>19</v>
      </c>
      <c r="E46">
        <v>428</v>
      </c>
      <c r="F46">
        <v>855</v>
      </c>
      <c r="G46">
        <v>2</v>
      </c>
      <c r="H46">
        <v>0.5</v>
      </c>
      <c r="K46">
        <v>1</v>
      </c>
      <c r="L46" t="s">
        <v>19</v>
      </c>
      <c r="M46" t="s">
        <v>22</v>
      </c>
      <c r="N46">
        <v>1.765</v>
      </c>
    </row>
    <row r="47" spans="1:14">
      <c r="A47" t="s">
        <v>65</v>
      </c>
      <c r="B47" t="s">
        <v>41</v>
      </c>
      <c r="C47">
        <v>3</v>
      </c>
      <c r="D47" t="s">
        <v>19</v>
      </c>
      <c r="E47">
        <v>25</v>
      </c>
      <c r="F47">
        <v>864</v>
      </c>
      <c r="G47">
        <v>0.12</v>
      </c>
      <c r="H47">
        <v>0.03</v>
      </c>
      <c r="K47">
        <v>1</v>
      </c>
      <c r="L47" t="s">
        <v>19</v>
      </c>
      <c r="M47" t="s">
        <v>22</v>
      </c>
      <c r="N47">
        <v>0.525</v>
      </c>
    </row>
    <row r="48" spans="1:14">
      <c r="A48" t="s">
        <v>66</v>
      </c>
      <c r="B48" t="s">
        <v>13</v>
      </c>
      <c r="C48">
        <v>3</v>
      </c>
      <c r="D48" t="s">
        <v>19</v>
      </c>
      <c r="E48">
        <v>939</v>
      </c>
      <c r="F48">
        <v>864</v>
      </c>
      <c r="G48">
        <v>4.35</v>
      </c>
      <c r="H48">
        <v>1.0875</v>
      </c>
      <c r="K48">
        <v>2</v>
      </c>
      <c r="L48" t="s">
        <v>19</v>
      </c>
      <c r="M48" t="s">
        <v>22</v>
      </c>
      <c r="N48">
        <v>0.46</v>
      </c>
    </row>
    <row r="49" spans="1:14">
      <c r="A49" t="s">
        <v>67</v>
      </c>
      <c r="B49" t="s">
        <v>16</v>
      </c>
      <c r="C49">
        <v>3</v>
      </c>
      <c r="D49" t="s">
        <v>19</v>
      </c>
      <c r="E49">
        <v>512</v>
      </c>
      <c r="F49">
        <v>870</v>
      </c>
      <c r="G49">
        <v>2.35</v>
      </c>
      <c r="H49">
        <v>0.5875</v>
      </c>
      <c r="K49">
        <v>2</v>
      </c>
      <c r="L49" t="s">
        <v>19</v>
      </c>
      <c r="M49" t="s">
        <v>22</v>
      </c>
      <c r="N49">
        <v>0.695</v>
      </c>
    </row>
    <row r="50" spans="1:14">
      <c r="A50" t="s">
        <v>68</v>
      </c>
      <c r="B50" t="s">
        <v>20</v>
      </c>
      <c r="C50">
        <v>3</v>
      </c>
      <c r="D50" t="s">
        <v>19</v>
      </c>
      <c r="E50">
        <v>1758</v>
      </c>
      <c r="F50">
        <v>870</v>
      </c>
      <c r="G50">
        <v>8.08</v>
      </c>
      <c r="H50">
        <v>2.02</v>
      </c>
      <c r="K50">
        <v>2</v>
      </c>
      <c r="L50" t="s">
        <v>19</v>
      </c>
      <c r="M50" t="s">
        <v>22</v>
      </c>
      <c r="N50">
        <v>0.71</v>
      </c>
    </row>
    <row r="51" spans="1:14">
      <c r="A51" t="s">
        <v>69</v>
      </c>
      <c r="B51" t="s">
        <v>35</v>
      </c>
      <c r="C51">
        <v>3</v>
      </c>
      <c r="D51" t="s">
        <v>19</v>
      </c>
      <c r="E51">
        <v>701</v>
      </c>
      <c r="F51">
        <v>866</v>
      </c>
      <c r="G51">
        <v>3.24</v>
      </c>
      <c r="H51">
        <v>0.81</v>
      </c>
      <c r="K51">
        <v>2</v>
      </c>
      <c r="L51" t="s">
        <v>19</v>
      </c>
      <c r="M51" t="s">
        <v>22</v>
      </c>
      <c r="N51">
        <v>1.5575</v>
      </c>
    </row>
    <row r="52" spans="1:14">
      <c r="A52" t="s">
        <v>70</v>
      </c>
      <c r="B52" t="s">
        <v>18</v>
      </c>
      <c r="C52">
        <v>3</v>
      </c>
      <c r="D52" t="s">
        <v>19</v>
      </c>
      <c r="E52">
        <v>588</v>
      </c>
      <c r="F52">
        <v>841</v>
      </c>
      <c r="G52">
        <v>2.8</v>
      </c>
      <c r="H52">
        <v>0.7</v>
      </c>
      <c r="K52">
        <v>2</v>
      </c>
      <c r="L52" t="s">
        <v>19</v>
      </c>
      <c r="M52" t="s">
        <v>22</v>
      </c>
      <c r="N52">
        <v>0.505</v>
      </c>
    </row>
    <row r="53" spans="1:14">
      <c r="A53" t="s">
        <v>71</v>
      </c>
      <c r="B53" t="s">
        <v>22</v>
      </c>
      <c r="C53">
        <v>3</v>
      </c>
      <c r="D53" t="s">
        <v>19</v>
      </c>
      <c r="E53">
        <v>972</v>
      </c>
      <c r="F53">
        <v>867</v>
      </c>
      <c r="G53">
        <v>4.48</v>
      </c>
      <c r="H53">
        <v>1.12</v>
      </c>
      <c r="K53">
        <v>3</v>
      </c>
      <c r="L53" t="s">
        <v>19</v>
      </c>
      <c r="M53" t="s">
        <v>22</v>
      </c>
      <c r="N53">
        <v>0.3175</v>
      </c>
    </row>
    <row r="54" spans="1:14">
      <c r="A54" t="s">
        <v>72</v>
      </c>
      <c r="B54" t="s">
        <v>8</v>
      </c>
      <c r="C54">
        <v>3</v>
      </c>
      <c r="D54" t="s">
        <v>19</v>
      </c>
      <c r="E54">
        <v>1246</v>
      </c>
      <c r="F54">
        <v>862</v>
      </c>
      <c r="G54">
        <v>5.78</v>
      </c>
      <c r="H54">
        <v>1.445</v>
      </c>
      <c r="K54">
        <v>3</v>
      </c>
      <c r="L54" t="s">
        <v>19</v>
      </c>
      <c r="M54" t="s">
        <v>22</v>
      </c>
      <c r="N54">
        <v>0.6025</v>
      </c>
    </row>
    <row r="55" spans="1:14">
      <c r="A55" t="s">
        <v>73</v>
      </c>
      <c r="B55" t="s">
        <v>13</v>
      </c>
      <c r="C55">
        <v>3</v>
      </c>
      <c r="D55" t="s">
        <v>19</v>
      </c>
      <c r="E55">
        <v>401</v>
      </c>
      <c r="F55">
        <v>862</v>
      </c>
      <c r="G55">
        <v>1.86</v>
      </c>
      <c r="H55">
        <v>0.465</v>
      </c>
      <c r="K55">
        <v>3</v>
      </c>
      <c r="L55" t="s">
        <v>19</v>
      </c>
      <c r="M55" t="s">
        <v>22</v>
      </c>
      <c r="N55">
        <v>0.5625</v>
      </c>
    </row>
    <row r="56" spans="1:14">
      <c r="A56" t="s">
        <v>74</v>
      </c>
      <c r="B56" t="s">
        <v>16</v>
      </c>
      <c r="C56">
        <v>3</v>
      </c>
      <c r="D56" t="s">
        <v>19</v>
      </c>
      <c r="E56">
        <v>1087</v>
      </c>
      <c r="F56">
        <v>841</v>
      </c>
      <c r="G56">
        <v>5.17</v>
      </c>
      <c r="H56">
        <v>1.2925</v>
      </c>
      <c r="K56">
        <v>3</v>
      </c>
      <c r="L56" t="s">
        <v>19</v>
      </c>
      <c r="M56" t="s">
        <v>22</v>
      </c>
      <c r="N56">
        <v>1.12</v>
      </c>
    </row>
    <row r="57" spans="1:14">
      <c r="A57" t="s">
        <v>75</v>
      </c>
      <c r="B57" t="s">
        <v>20</v>
      </c>
      <c r="C57">
        <v>3</v>
      </c>
      <c r="D57" t="s">
        <v>19</v>
      </c>
      <c r="E57">
        <v>463</v>
      </c>
      <c r="F57">
        <v>816</v>
      </c>
      <c r="G57">
        <v>2.27</v>
      </c>
      <c r="H57">
        <v>0.5675</v>
      </c>
      <c r="K57">
        <v>3</v>
      </c>
      <c r="L57" t="s">
        <v>19</v>
      </c>
      <c r="M57" t="s">
        <v>22</v>
      </c>
      <c r="N57">
        <v>0.33</v>
      </c>
    </row>
    <row r="58" spans="1:14">
      <c r="A58" t="s">
        <v>76</v>
      </c>
      <c r="B58" t="s">
        <v>35</v>
      </c>
      <c r="C58">
        <v>3</v>
      </c>
      <c r="D58" t="s">
        <v>19</v>
      </c>
      <c r="E58">
        <v>443</v>
      </c>
      <c r="F58">
        <v>841</v>
      </c>
      <c r="G58">
        <v>2.11</v>
      </c>
      <c r="H58">
        <v>0.5275</v>
      </c>
      <c r="K58">
        <v>0</v>
      </c>
      <c r="L58" t="s">
        <v>19</v>
      </c>
      <c r="M58" t="s">
        <v>13</v>
      </c>
      <c r="N58">
        <v>0.875</v>
      </c>
    </row>
    <row r="59" spans="1:14">
      <c r="A59" t="s">
        <v>77</v>
      </c>
      <c r="B59" t="s">
        <v>18</v>
      </c>
      <c r="C59">
        <v>3</v>
      </c>
      <c r="D59" t="s">
        <v>19</v>
      </c>
      <c r="E59">
        <v>1400</v>
      </c>
      <c r="F59">
        <v>820</v>
      </c>
      <c r="G59">
        <v>6.83</v>
      </c>
      <c r="H59">
        <v>1.7075</v>
      </c>
      <c r="K59">
        <v>0</v>
      </c>
      <c r="L59" t="s">
        <v>19</v>
      </c>
      <c r="M59" t="s">
        <v>13</v>
      </c>
      <c r="N59">
        <v>0.715</v>
      </c>
    </row>
    <row r="60" spans="1:14">
      <c r="A60" t="s">
        <v>78</v>
      </c>
      <c r="B60" t="s">
        <v>22</v>
      </c>
      <c r="C60">
        <v>3</v>
      </c>
      <c r="D60" t="s">
        <v>19</v>
      </c>
      <c r="E60">
        <v>267</v>
      </c>
      <c r="F60">
        <v>812</v>
      </c>
      <c r="G60">
        <v>1.32</v>
      </c>
      <c r="H60">
        <v>0.33</v>
      </c>
      <c r="K60">
        <v>0</v>
      </c>
      <c r="L60" t="s">
        <v>19</v>
      </c>
      <c r="M60" t="s">
        <v>13</v>
      </c>
      <c r="N60">
        <v>0.4725</v>
      </c>
    </row>
    <row r="61" spans="1:14">
      <c r="A61" t="s">
        <v>79</v>
      </c>
      <c r="B61" t="s">
        <v>8</v>
      </c>
      <c r="C61">
        <v>3</v>
      </c>
      <c r="D61" t="s">
        <v>10</v>
      </c>
      <c r="E61">
        <v>458</v>
      </c>
      <c r="F61">
        <v>841</v>
      </c>
      <c r="G61">
        <v>2.18</v>
      </c>
      <c r="H61">
        <v>0.545</v>
      </c>
      <c r="K61">
        <v>0</v>
      </c>
      <c r="L61" t="s">
        <v>19</v>
      </c>
      <c r="M61" t="s">
        <v>13</v>
      </c>
      <c r="N61">
        <v>1.2275</v>
      </c>
    </row>
    <row r="62" spans="1:14">
      <c r="A62" t="s">
        <v>80</v>
      </c>
      <c r="B62" t="s">
        <v>41</v>
      </c>
      <c r="C62">
        <v>3</v>
      </c>
      <c r="D62" t="s">
        <v>10</v>
      </c>
      <c r="E62">
        <v>345</v>
      </c>
      <c r="F62">
        <v>868</v>
      </c>
      <c r="G62">
        <v>1.59</v>
      </c>
      <c r="H62">
        <v>0.3975</v>
      </c>
      <c r="K62">
        <v>0</v>
      </c>
      <c r="L62" t="s">
        <v>19</v>
      </c>
      <c r="M62" t="s">
        <v>13</v>
      </c>
      <c r="N62">
        <v>0.9175</v>
      </c>
    </row>
    <row r="63" spans="1:14">
      <c r="A63" t="s">
        <v>81</v>
      </c>
      <c r="B63" t="s">
        <v>13</v>
      </c>
      <c r="C63">
        <v>3</v>
      </c>
      <c r="D63" t="s">
        <v>10</v>
      </c>
      <c r="E63">
        <v>2289</v>
      </c>
      <c r="F63">
        <v>866</v>
      </c>
      <c r="G63">
        <v>10.57</v>
      </c>
      <c r="H63">
        <v>2.6425</v>
      </c>
      <c r="K63">
        <v>1</v>
      </c>
      <c r="L63" t="s">
        <v>19</v>
      </c>
      <c r="M63" t="s">
        <v>13</v>
      </c>
      <c r="N63">
        <v>1.065</v>
      </c>
    </row>
    <row r="64" spans="1:14">
      <c r="A64" t="s">
        <v>82</v>
      </c>
      <c r="B64" t="s">
        <v>16</v>
      </c>
      <c r="C64">
        <v>3</v>
      </c>
      <c r="D64" t="s">
        <v>10</v>
      </c>
      <c r="E64">
        <v>1189</v>
      </c>
      <c r="F64">
        <v>864</v>
      </c>
      <c r="G64">
        <v>5.5</v>
      </c>
      <c r="H64">
        <v>1.375</v>
      </c>
      <c r="K64">
        <v>1</v>
      </c>
      <c r="L64" t="s">
        <v>19</v>
      </c>
      <c r="M64" t="s">
        <v>13</v>
      </c>
      <c r="N64">
        <v>0.73</v>
      </c>
    </row>
    <row r="65" spans="1:14">
      <c r="A65" t="s">
        <v>83</v>
      </c>
      <c r="B65" t="s">
        <v>20</v>
      </c>
      <c r="C65">
        <v>3</v>
      </c>
      <c r="D65" t="s">
        <v>10</v>
      </c>
      <c r="E65">
        <v>2239</v>
      </c>
      <c r="F65">
        <v>841</v>
      </c>
      <c r="G65">
        <v>10.65</v>
      </c>
      <c r="H65">
        <v>2.6625</v>
      </c>
      <c r="K65">
        <v>1</v>
      </c>
      <c r="L65" t="s">
        <v>19</v>
      </c>
      <c r="M65" t="s">
        <v>13</v>
      </c>
      <c r="N65">
        <v>0.615</v>
      </c>
    </row>
    <row r="66" spans="1:14">
      <c r="A66" t="s">
        <v>84</v>
      </c>
      <c r="B66" t="s">
        <v>35</v>
      </c>
      <c r="C66">
        <v>3</v>
      </c>
      <c r="D66" t="s">
        <v>10</v>
      </c>
      <c r="E66">
        <v>1019</v>
      </c>
      <c r="F66">
        <v>860</v>
      </c>
      <c r="G66">
        <v>4.74</v>
      </c>
      <c r="H66">
        <v>1.185</v>
      </c>
      <c r="K66">
        <v>1</v>
      </c>
      <c r="L66" t="s">
        <v>19</v>
      </c>
      <c r="M66" t="s">
        <v>13</v>
      </c>
      <c r="N66">
        <v>1.555</v>
      </c>
    </row>
    <row r="67" spans="1:14">
      <c r="A67" t="s">
        <v>85</v>
      </c>
      <c r="B67" t="s">
        <v>18</v>
      </c>
      <c r="C67">
        <v>3</v>
      </c>
      <c r="D67" t="s">
        <v>10</v>
      </c>
      <c r="E67">
        <v>2846</v>
      </c>
      <c r="F67">
        <v>869</v>
      </c>
      <c r="G67">
        <v>13.1</v>
      </c>
      <c r="H67">
        <v>3.275</v>
      </c>
      <c r="K67">
        <v>1</v>
      </c>
      <c r="L67" t="s">
        <v>19</v>
      </c>
      <c r="M67" t="s">
        <v>13</v>
      </c>
      <c r="N67">
        <v>1.0075</v>
      </c>
    </row>
    <row r="68" spans="1:14">
      <c r="A68" t="s">
        <v>86</v>
      </c>
      <c r="B68" t="s">
        <v>22</v>
      </c>
      <c r="C68">
        <v>3</v>
      </c>
      <c r="D68" t="s">
        <v>10</v>
      </c>
      <c r="E68">
        <v>946</v>
      </c>
      <c r="F68">
        <v>870</v>
      </c>
      <c r="G68">
        <v>4.35</v>
      </c>
      <c r="H68">
        <v>1.0875</v>
      </c>
      <c r="K68">
        <v>2</v>
      </c>
      <c r="L68" t="s">
        <v>19</v>
      </c>
      <c r="M68" t="s">
        <v>13</v>
      </c>
      <c r="N68">
        <v>0.8425</v>
      </c>
    </row>
    <row r="69" spans="1:14">
      <c r="A69" t="s">
        <v>87</v>
      </c>
      <c r="B69" t="s">
        <v>8</v>
      </c>
      <c r="C69">
        <v>3</v>
      </c>
      <c r="D69" t="s">
        <v>10</v>
      </c>
      <c r="E69">
        <v>905</v>
      </c>
      <c r="F69">
        <v>894</v>
      </c>
      <c r="G69">
        <v>4.05</v>
      </c>
      <c r="H69">
        <v>1.0125</v>
      </c>
      <c r="K69">
        <v>2</v>
      </c>
      <c r="L69" t="s">
        <v>19</v>
      </c>
      <c r="M69" t="s">
        <v>13</v>
      </c>
      <c r="N69">
        <v>0.6375</v>
      </c>
    </row>
    <row r="70" spans="1:14">
      <c r="A70" t="s">
        <v>88</v>
      </c>
      <c r="B70" t="s">
        <v>41</v>
      </c>
      <c r="C70">
        <v>3</v>
      </c>
      <c r="D70" t="s">
        <v>10</v>
      </c>
      <c r="E70">
        <v>496</v>
      </c>
      <c r="F70">
        <v>856</v>
      </c>
      <c r="G70">
        <v>2.32</v>
      </c>
      <c r="H70">
        <v>0.58</v>
      </c>
      <c r="K70">
        <v>2</v>
      </c>
      <c r="L70" t="s">
        <v>19</v>
      </c>
      <c r="M70" t="s">
        <v>13</v>
      </c>
      <c r="N70">
        <v>0.585</v>
      </c>
    </row>
    <row r="71" spans="1:14">
      <c r="A71" t="s">
        <v>89</v>
      </c>
      <c r="B71" t="s">
        <v>16</v>
      </c>
      <c r="C71">
        <v>3</v>
      </c>
      <c r="D71" t="s">
        <v>10</v>
      </c>
      <c r="E71">
        <v>1492</v>
      </c>
      <c r="F71">
        <v>857</v>
      </c>
      <c r="G71">
        <v>6.96</v>
      </c>
      <c r="H71">
        <v>1.74</v>
      </c>
      <c r="K71">
        <v>2</v>
      </c>
      <c r="L71" t="s">
        <v>19</v>
      </c>
      <c r="M71" t="s">
        <v>13</v>
      </c>
      <c r="N71">
        <v>1.4475</v>
      </c>
    </row>
    <row r="72" spans="1:14">
      <c r="A72" t="s">
        <v>89</v>
      </c>
      <c r="B72" t="s">
        <v>16</v>
      </c>
      <c r="C72">
        <v>3</v>
      </c>
      <c r="D72" t="s">
        <v>10</v>
      </c>
      <c r="E72">
        <v>1492</v>
      </c>
      <c r="F72">
        <v>857</v>
      </c>
      <c r="G72">
        <v>6.96</v>
      </c>
      <c r="H72">
        <v>1.74</v>
      </c>
      <c r="K72">
        <v>2</v>
      </c>
      <c r="L72" t="s">
        <v>19</v>
      </c>
      <c r="M72" t="s">
        <v>13</v>
      </c>
      <c r="N72">
        <v>0.875</v>
      </c>
    </row>
    <row r="73" spans="1:14">
      <c r="A73" t="s">
        <v>90</v>
      </c>
      <c r="B73" t="s">
        <v>20</v>
      </c>
      <c r="C73">
        <v>3</v>
      </c>
      <c r="D73" t="s">
        <v>10</v>
      </c>
      <c r="E73">
        <v>1626</v>
      </c>
      <c r="F73">
        <v>841</v>
      </c>
      <c r="G73">
        <v>7.73</v>
      </c>
      <c r="H73">
        <v>1.9325</v>
      </c>
      <c r="K73">
        <v>3</v>
      </c>
      <c r="L73" t="s">
        <v>19</v>
      </c>
      <c r="M73" t="s">
        <v>13</v>
      </c>
      <c r="N73">
        <v>0.5875</v>
      </c>
    </row>
    <row r="74" spans="1:14">
      <c r="A74" t="s">
        <v>91</v>
      </c>
      <c r="B74" t="s">
        <v>35</v>
      </c>
      <c r="C74">
        <v>3</v>
      </c>
      <c r="D74" t="s">
        <v>10</v>
      </c>
      <c r="E74">
        <v>1124</v>
      </c>
      <c r="F74">
        <v>841</v>
      </c>
      <c r="G74">
        <v>5.35</v>
      </c>
      <c r="H74">
        <v>1.3375</v>
      </c>
      <c r="K74">
        <v>3</v>
      </c>
      <c r="L74" t="s">
        <v>19</v>
      </c>
      <c r="M74" t="s">
        <v>13</v>
      </c>
      <c r="N74">
        <v>0.4175</v>
      </c>
    </row>
    <row r="75" spans="1:14">
      <c r="A75" t="s">
        <v>92</v>
      </c>
      <c r="B75" t="s">
        <v>18</v>
      </c>
      <c r="C75">
        <v>3</v>
      </c>
      <c r="D75" t="s">
        <v>10</v>
      </c>
      <c r="E75">
        <v>1034</v>
      </c>
      <c r="F75">
        <v>841</v>
      </c>
      <c r="G75">
        <v>4.92</v>
      </c>
      <c r="H75">
        <v>1.23</v>
      </c>
      <c r="K75">
        <v>3</v>
      </c>
      <c r="L75" t="s">
        <v>19</v>
      </c>
      <c r="M75" t="s">
        <v>13</v>
      </c>
      <c r="N75">
        <v>0.395</v>
      </c>
    </row>
    <row r="76" spans="1:14">
      <c r="A76" t="s">
        <v>93</v>
      </c>
      <c r="B76" t="s">
        <v>22</v>
      </c>
      <c r="C76">
        <v>3</v>
      </c>
      <c r="D76" t="s">
        <v>10</v>
      </c>
      <c r="E76">
        <v>3709</v>
      </c>
      <c r="F76">
        <v>841</v>
      </c>
      <c r="G76">
        <v>17.64</v>
      </c>
      <c r="H76">
        <v>4.41</v>
      </c>
      <c r="K76">
        <v>3</v>
      </c>
      <c r="L76" t="s">
        <v>19</v>
      </c>
      <c r="M76" t="s">
        <v>13</v>
      </c>
      <c r="N76">
        <v>1.0875</v>
      </c>
    </row>
    <row r="77" spans="1:14">
      <c r="A77" t="s">
        <v>94</v>
      </c>
      <c r="B77" t="s">
        <v>8</v>
      </c>
      <c r="C77">
        <v>3</v>
      </c>
      <c r="D77" t="s">
        <v>10</v>
      </c>
      <c r="E77">
        <v>432</v>
      </c>
      <c r="F77">
        <v>868</v>
      </c>
      <c r="G77">
        <v>1.99</v>
      </c>
      <c r="H77">
        <v>0.4975</v>
      </c>
      <c r="K77">
        <v>3</v>
      </c>
      <c r="L77" t="s">
        <v>19</v>
      </c>
      <c r="M77" t="s">
        <v>13</v>
      </c>
      <c r="N77">
        <v>0.465</v>
      </c>
    </row>
    <row r="78" spans="1:14">
      <c r="A78" t="s">
        <v>95</v>
      </c>
      <c r="B78" t="s">
        <v>41</v>
      </c>
      <c r="C78">
        <v>3</v>
      </c>
      <c r="D78" t="s">
        <v>10</v>
      </c>
      <c r="E78">
        <v>637</v>
      </c>
      <c r="F78">
        <v>841</v>
      </c>
      <c r="G78">
        <v>3.03</v>
      </c>
      <c r="H78">
        <v>0.7575</v>
      </c>
      <c r="K78">
        <v>0</v>
      </c>
      <c r="L78" t="s">
        <v>19</v>
      </c>
      <c r="M78" t="s">
        <v>16</v>
      </c>
      <c r="N78">
        <v>0.8525</v>
      </c>
    </row>
    <row r="79" spans="1:14">
      <c r="A79" t="s">
        <v>96</v>
      </c>
      <c r="B79" t="s">
        <v>13</v>
      </c>
      <c r="C79">
        <v>3</v>
      </c>
      <c r="D79" t="s">
        <v>10</v>
      </c>
      <c r="E79">
        <v>1669</v>
      </c>
      <c r="F79">
        <v>865</v>
      </c>
      <c r="G79">
        <v>7.72</v>
      </c>
      <c r="H79">
        <v>1.93</v>
      </c>
      <c r="K79">
        <v>0</v>
      </c>
      <c r="L79" t="s">
        <v>19</v>
      </c>
      <c r="M79" t="s">
        <v>16</v>
      </c>
      <c r="N79">
        <v>1.3325</v>
      </c>
    </row>
    <row r="80" spans="1:14">
      <c r="A80" t="s">
        <v>97</v>
      </c>
      <c r="B80" t="s">
        <v>16</v>
      </c>
      <c r="C80">
        <v>3</v>
      </c>
      <c r="D80" t="s">
        <v>10</v>
      </c>
      <c r="E80">
        <v>1327</v>
      </c>
      <c r="F80">
        <v>869</v>
      </c>
      <c r="G80">
        <v>6.11</v>
      </c>
      <c r="H80">
        <v>1.5275</v>
      </c>
      <c r="K80">
        <v>0</v>
      </c>
      <c r="L80" t="s">
        <v>19</v>
      </c>
      <c r="M80" t="s">
        <v>16</v>
      </c>
      <c r="N80">
        <v>0.72</v>
      </c>
    </row>
    <row r="81" spans="1:14">
      <c r="A81" t="s">
        <v>98</v>
      </c>
      <c r="B81" t="s">
        <v>20</v>
      </c>
      <c r="C81">
        <v>3</v>
      </c>
      <c r="D81" t="s">
        <v>10</v>
      </c>
      <c r="E81">
        <v>660</v>
      </c>
      <c r="F81">
        <v>841</v>
      </c>
      <c r="G81">
        <v>3.14</v>
      </c>
      <c r="H81">
        <v>0.785</v>
      </c>
      <c r="K81">
        <v>0</v>
      </c>
      <c r="L81" t="s">
        <v>19</v>
      </c>
      <c r="M81" t="s">
        <v>16</v>
      </c>
      <c r="N81">
        <v>2.06</v>
      </c>
    </row>
    <row r="82" spans="1:14">
      <c r="A82" t="s">
        <v>99</v>
      </c>
      <c r="B82" t="s">
        <v>35</v>
      </c>
      <c r="C82">
        <v>3</v>
      </c>
      <c r="D82" t="s">
        <v>10</v>
      </c>
      <c r="E82">
        <v>979</v>
      </c>
      <c r="F82">
        <v>842</v>
      </c>
      <c r="G82">
        <v>4.65</v>
      </c>
      <c r="H82">
        <v>1.1625</v>
      </c>
      <c r="K82">
        <v>0</v>
      </c>
      <c r="L82" t="s">
        <v>19</v>
      </c>
      <c r="M82" t="s">
        <v>16</v>
      </c>
      <c r="N82">
        <v>0.6275</v>
      </c>
    </row>
    <row r="83" spans="1:14">
      <c r="A83" t="s">
        <v>100</v>
      </c>
      <c r="B83" t="s">
        <v>18</v>
      </c>
      <c r="C83">
        <v>3</v>
      </c>
      <c r="D83" t="s">
        <v>10</v>
      </c>
      <c r="E83">
        <v>2742</v>
      </c>
      <c r="F83">
        <v>841</v>
      </c>
      <c r="G83">
        <v>13.04</v>
      </c>
      <c r="H83">
        <v>3.26</v>
      </c>
      <c r="K83">
        <v>1</v>
      </c>
      <c r="L83" t="s">
        <v>19</v>
      </c>
      <c r="M83" t="s">
        <v>16</v>
      </c>
      <c r="N83">
        <v>0.465</v>
      </c>
    </row>
    <row r="84" spans="1:14">
      <c r="A84" t="s">
        <v>101</v>
      </c>
      <c r="B84" t="s">
        <v>22</v>
      </c>
      <c r="C84">
        <v>3</v>
      </c>
      <c r="D84" t="s">
        <v>10</v>
      </c>
      <c r="E84">
        <v>1242</v>
      </c>
      <c r="F84">
        <v>841</v>
      </c>
      <c r="G84">
        <v>5.91</v>
      </c>
      <c r="H84">
        <v>1.4775</v>
      </c>
      <c r="K84">
        <v>1</v>
      </c>
      <c r="L84" t="s">
        <v>19</v>
      </c>
      <c r="M84" t="s">
        <v>16</v>
      </c>
      <c r="N84">
        <v>1.0475</v>
      </c>
    </row>
    <row r="85" spans="1:14">
      <c r="A85" t="s">
        <v>102</v>
      </c>
      <c r="B85" t="s">
        <v>8</v>
      </c>
      <c r="C85">
        <v>3</v>
      </c>
      <c r="D85" t="s">
        <v>10</v>
      </c>
      <c r="E85">
        <v>121</v>
      </c>
      <c r="F85">
        <v>841</v>
      </c>
      <c r="G85">
        <v>0.58</v>
      </c>
      <c r="H85">
        <v>0.145</v>
      </c>
      <c r="K85">
        <v>1</v>
      </c>
      <c r="L85" t="s">
        <v>19</v>
      </c>
      <c r="M85" t="s">
        <v>16</v>
      </c>
      <c r="N85">
        <v>1.445</v>
      </c>
    </row>
    <row r="86" spans="1:14">
      <c r="A86" t="s">
        <v>103</v>
      </c>
      <c r="B86" t="s">
        <v>13</v>
      </c>
      <c r="C86">
        <v>3</v>
      </c>
      <c r="D86" t="s">
        <v>10</v>
      </c>
      <c r="E86">
        <v>355</v>
      </c>
      <c r="F86">
        <v>840</v>
      </c>
      <c r="G86">
        <v>1.69</v>
      </c>
      <c r="H86">
        <v>0.4225</v>
      </c>
      <c r="K86">
        <v>1</v>
      </c>
      <c r="L86" t="s">
        <v>19</v>
      </c>
      <c r="M86" t="s">
        <v>16</v>
      </c>
      <c r="N86">
        <v>0.8875</v>
      </c>
    </row>
    <row r="87" spans="1:14">
      <c r="A87" t="s">
        <v>104</v>
      </c>
      <c r="B87" t="s">
        <v>16</v>
      </c>
      <c r="C87">
        <v>3</v>
      </c>
      <c r="D87" t="s">
        <v>10</v>
      </c>
      <c r="E87">
        <v>1324</v>
      </c>
      <c r="F87">
        <v>841</v>
      </c>
      <c r="G87">
        <v>6.3</v>
      </c>
      <c r="H87">
        <v>1.575</v>
      </c>
      <c r="K87">
        <v>1</v>
      </c>
      <c r="L87" t="s">
        <v>19</v>
      </c>
      <c r="M87" t="s">
        <v>16</v>
      </c>
      <c r="N87">
        <v>2.635</v>
      </c>
    </row>
    <row r="88" spans="1:14">
      <c r="A88" t="s">
        <v>105</v>
      </c>
      <c r="B88" t="s">
        <v>20</v>
      </c>
      <c r="C88">
        <v>3</v>
      </c>
      <c r="D88" t="s">
        <v>10</v>
      </c>
      <c r="E88">
        <v>3477</v>
      </c>
      <c r="F88">
        <v>841</v>
      </c>
      <c r="G88">
        <v>16.54</v>
      </c>
      <c r="H88">
        <v>4.135</v>
      </c>
      <c r="K88">
        <v>2</v>
      </c>
      <c r="L88" t="s">
        <v>19</v>
      </c>
      <c r="M88" t="s">
        <v>16</v>
      </c>
      <c r="N88">
        <v>0.455</v>
      </c>
    </row>
    <row r="89" spans="1:14">
      <c r="A89" t="s">
        <v>106</v>
      </c>
      <c r="B89" t="s">
        <v>35</v>
      </c>
      <c r="C89">
        <v>3</v>
      </c>
      <c r="D89" t="s">
        <v>10</v>
      </c>
      <c r="E89">
        <v>1357</v>
      </c>
      <c r="F89">
        <v>841</v>
      </c>
      <c r="G89">
        <v>6.45</v>
      </c>
      <c r="H89">
        <v>1.6125</v>
      </c>
      <c r="K89">
        <v>2</v>
      </c>
      <c r="L89" t="s">
        <v>19</v>
      </c>
      <c r="M89" t="s">
        <v>16</v>
      </c>
      <c r="N89">
        <v>0.92</v>
      </c>
    </row>
    <row r="90" spans="1:14">
      <c r="A90" t="s">
        <v>107</v>
      </c>
      <c r="B90" t="s">
        <v>18</v>
      </c>
      <c r="C90">
        <v>3</v>
      </c>
      <c r="D90" t="s">
        <v>10</v>
      </c>
      <c r="E90">
        <v>1172</v>
      </c>
      <c r="F90">
        <v>870</v>
      </c>
      <c r="G90">
        <v>5.39</v>
      </c>
      <c r="H90">
        <v>1.3475</v>
      </c>
      <c r="K90">
        <v>2</v>
      </c>
      <c r="L90" t="s">
        <v>19</v>
      </c>
      <c r="M90" t="s">
        <v>16</v>
      </c>
      <c r="N90">
        <v>1.45</v>
      </c>
    </row>
    <row r="91" spans="1:14">
      <c r="A91" t="s">
        <v>108</v>
      </c>
      <c r="B91" t="s">
        <v>22</v>
      </c>
      <c r="C91">
        <v>3</v>
      </c>
      <c r="D91" t="s">
        <v>10</v>
      </c>
      <c r="E91">
        <v>646</v>
      </c>
      <c r="F91">
        <v>841</v>
      </c>
      <c r="G91">
        <v>3.07</v>
      </c>
      <c r="H91">
        <v>0.7675</v>
      </c>
      <c r="K91">
        <v>2</v>
      </c>
      <c r="L91" t="s">
        <v>19</v>
      </c>
      <c r="M91" t="s">
        <v>16</v>
      </c>
      <c r="N91">
        <v>0.68</v>
      </c>
    </row>
    <row r="92" spans="1:14">
      <c r="A92" t="s">
        <v>109</v>
      </c>
      <c r="B92" t="s">
        <v>16</v>
      </c>
      <c r="C92">
        <v>3</v>
      </c>
      <c r="D92" t="s">
        <v>10</v>
      </c>
      <c r="E92">
        <v>1116</v>
      </c>
      <c r="F92">
        <v>891</v>
      </c>
      <c r="G92">
        <v>5.01</v>
      </c>
      <c r="H92">
        <v>1.2525</v>
      </c>
      <c r="K92">
        <v>2</v>
      </c>
      <c r="L92" t="s">
        <v>19</v>
      </c>
      <c r="M92" t="s">
        <v>16</v>
      </c>
      <c r="N92">
        <v>2.3525</v>
      </c>
    </row>
    <row r="93" spans="1:14">
      <c r="A93" t="s">
        <v>110</v>
      </c>
      <c r="B93" t="s">
        <v>18</v>
      </c>
      <c r="C93">
        <v>3</v>
      </c>
      <c r="D93" t="s">
        <v>10</v>
      </c>
      <c r="E93">
        <v>1287</v>
      </c>
      <c r="F93">
        <v>841</v>
      </c>
      <c r="G93">
        <v>6.12</v>
      </c>
      <c r="H93">
        <v>1.53</v>
      </c>
      <c r="K93">
        <v>3</v>
      </c>
      <c r="L93" t="s">
        <v>19</v>
      </c>
      <c r="M93" t="s">
        <v>16</v>
      </c>
      <c r="N93">
        <v>0.3425</v>
      </c>
    </row>
    <row r="94" spans="1:14">
      <c r="A94" t="s">
        <v>111</v>
      </c>
      <c r="B94" t="s">
        <v>8</v>
      </c>
      <c r="C94">
        <v>3</v>
      </c>
      <c r="D94" t="s">
        <v>10</v>
      </c>
      <c r="E94">
        <v>4246</v>
      </c>
      <c r="F94">
        <v>841</v>
      </c>
      <c r="G94">
        <v>20.2</v>
      </c>
      <c r="H94">
        <v>5.05</v>
      </c>
      <c r="K94">
        <v>3</v>
      </c>
      <c r="L94" t="s">
        <v>19</v>
      </c>
      <c r="M94" t="s">
        <v>16</v>
      </c>
      <c r="N94">
        <v>0.8025</v>
      </c>
    </row>
    <row r="95" spans="1:14">
      <c r="A95" t="s">
        <v>112</v>
      </c>
      <c r="B95" t="s">
        <v>41</v>
      </c>
      <c r="C95">
        <v>3</v>
      </c>
      <c r="D95" t="s">
        <v>10</v>
      </c>
      <c r="E95">
        <v>961</v>
      </c>
      <c r="F95">
        <v>858</v>
      </c>
      <c r="G95">
        <v>4.48</v>
      </c>
      <c r="H95">
        <v>1.12</v>
      </c>
      <c r="K95">
        <v>3</v>
      </c>
      <c r="L95" t="s">
        <v>19</v>
      </c>
      <c r="M95" t="s">
        <v>16</v>
      </c>
      <c r="N95">
        <v>1.1725</v>
      </c>
    </row>
    <row r="96" spans="1:14">
      <c r="A96" t="s">
        <v>113</v>
      </c>
      <c r="B96" t="s">
        <v>13</v>
      </c>
      <c r="C96">
        <v>3</v>
      </c>
      <c r="D96" t="s">
        <v>10</v>
      </c>
      <c r="E96">
        <v>1174</v>
      </c>
      <c r="F96">
        <v>860</v>
      </c>
      <c r="G96">
        <v>5.46</v>
      </c>
      <c r="H96">
        <v>1.365</v>
      </c>
      <c r="K96">
        <v>3</v>
      </c>
      <c r="L96" t="s">
        <v>19</v>
      </c>
      <c r="M96" t="s">
        <v>16</v>
      </c>
      <c r="N96">
        <v>0.5875</v>
      </c>
    </row>
    <row r="97" spans="1:14">
      <c r="A97" t="s">
        <v>114</v>
      </c>
      <c r="B97" t="s">
        <v>20</v>
      </c>
      <c r="C97">
        <v>3</v>
      </c>
      <c r="D97" t="s">
        <v>10</v>
      </c>
      <c r="E97">
        <v>1984</v>
      </c>
      <c r="F97">
        <v>812</v>
      </c>
      <c r="G97">
        <v>9.77</v>
      </c>
      <c r="H97">
        <v>2.4425</v>
      </c>
      <c r="K97">
        <v>3</v>
      </c>
      <c r="L97" t="s">
        <v>19</v>
      </c>
      <c r="M97" t="s">
        <v>16</v>
      </c>
      <c r="N97">
        <v>1.2925</v>
      </c>
    </row>
    <row r="98" spans="1:14">
      <c r="A98" t="s">
        <v>115</v>
      </c>
      <c r="B98" t="s">
        <v>35</v>
      </c>
      <c r="C98">
        <v>3</v>
      </c>
      <c r="D98" t="s">
        <v>10</v>
      </c>
      <c r="E98">
        <v>1469</v>
      </c>
      <c r="F98">
        <v>816</v>
      </c>
      <c r="G98">
        <v>7.2</v>
      </c>
      <c r="H98">
        <v>1.8</v>
      </c>
      <c r="K98">
        <v>0</v>
      </c>
      <c r="L98" t="s">
        <v>19</v>
      </c>
      <c r="M98" t="s">
        <v>18</v>
      </c>
      <c r="N98">
        <v>0.74</v>
      </c>
    </row>
    <row r="99" spans="1:14">
      <c r="A99" t="s">
        <v>116</v>
      </c>
      <c r="B99" t="s">
        <v>22</v>
      </c>
      <c r="C99">
        <v>3</v>
      </c>
      <c r="D99" t="s">
        <v>10</v>
      </c>
      <c r="E99">
        <v>1308</v>
      </c>
      <c r="F99">
        <v>897</v>
      </c>
      <c r="G99">
        <v>5.83</v>
      </c>
      <c r="H99">
        <v>1.4575</v>
      </c>
      <c r="K99">
        <v>0</v>
      </c>
      <c r="L99" t="s">
        <v>19</v>
      </c>
      <c r="M99" t="s">
        <v>18</v>
      </c>
      <c r="N99">
        <v>0.435</v>
      </c>
    </row>
    <row r="100" spans="1:14">
      <c r="A100" t="s">
        <v>117</v>
      </c>
      <c r="B100" t="s">
        <v>41</v>
      </c>
      <c r="C100">
        <v>3</v>
      </c>
      <c r="E100">
        <v>449</v>
      </c>
      <c r="F100">
        <v>870</v>
      </c>
      <c r="G100">
        <v>2.06</v>
      </c>
      <c r="H100">
        <v>0.515</v>
      </c>
      <c r="K100">
        <v>0</v>
      </c>
      <c r="L100" t="s">
        <v>19</v>
      </c>
      <c r="M100" t="s">
        <v>18</v>
      </c>
      <c r="N100">
        <v>1.25</v>
      </c>
    </row>
    <row r="101" spans="1:14">
      <c r="A101" t="s">
        <v>118</v>
      </c>
      <c r="B101" t="s">
        <v>20</v>
      </c>
      <c r="C101">
        <v>3</v>
      </c>
      <c r="E101">
        <v>5674</v>
      </c>
      <c r="F101">
        <v>841</v>
      </c>
      <c r="G101">
        <v>26.99</v>
      </c>
      <c r="H101">
        <v>6.7475</v>
      </c>
      <c r="K101">
        <v>0</v>
      </c>
      <c r="L101" t="s">
        <v>19</v>
      </c>
      <c r="M101" t="s">
        <v>18</v>
      </c>
      <c r="N101">
        <v>0.665</v>
      </c>
    </row>
    <row r="102" spans="1:14">
      <c r="A102" t="s">
        <v>119</v>
      </c>
      <c r="B102" t="s">
        <v>35</v>
      </c>
      <c r="C102">
        <v>3</v>
      </c>
      <c r="E102">
        <v>2523</v>
      </c>
      <c r="F102">
        <v>841</v>
      </c>
      <c r="G102">
        <v>12</v>
      </c>
      <c r="H102">
        <v>3</v>
      </c>
      <c r="K102">
        <v>0</v>
      </c>
      <c r="L102" t="s">
        <v>19</v>
      </c>
      <c r="M102" t="s">
        <v>18</v>
      </c>
      <c r="N102">
        <v>1.8</v>
      </c>
    </row>
    <row r="103" spans="1:14">
      <c r="A103" t="s">
        <v>120</v>
      </c>
      <c r="B103" t="s">
        <v>8</v>
      </c>
      <c r="C103">
        <v>3</v>
      </c>
      <c r="D103" t="s">
        <v>9</v>
      </c>
      <c r="E103">
        <v>2583</v>
      </c>
      <c r="F103">
        <v>840</v>
      </c>
      <c r="G103">
        <v>12.3</v>
      </c>
      <c r="H103">
        <v>3.075</v>
      </c>
      <c r="K103">
        <v>1</v>
      </c>
      <c r="L103" t="s">
        <v>19</v>
      </c>
      <c r="M103" t="s">
        <v>18</v>
      </c>
      <c r="N103">
        <v>0.7875</v>
      </c>
    </row>
    <row r="104" spans="1:14">
      <c r="A104" t="s">
        <v>121</v>
      </c>
      <c r="B104" t="s">
        <v>8</v>
      </c>
      <c r="C104">
        <v>3</v>
      </c>
      <c r="D104" t="s">
        <v>9</v>
      </c>
      <c r="E104">
        <v>5355</v>
      </c>
      <c r="F104">
        <v>870</v>
      </c>
      <c r="G104">
        <v>24.62</v>
      </c>
      <c r="H104">
        <v>6.155</v>
      </c>
      <c r="K104">
        <v>1</v>
      </c>
      <c r="L104" t="s">
        <v>19</v>
      </c>
      <c r="M104" t="s">
        <v>18</v>
      </c>
      <c r="N104">
        <v>0.6175</v>
      </c>
    </row>
    <row r="105" spans="1:14">
      <c r="A105" t="s">
        <v>122</v>
      </c>
      <c r="B105" t="s">
        <v>41</v>
      </c>
      <c r="C105">
        <v>3</v>
      </c>
      <c r="D105" t="s">
        <v>9</v>
      </c>
      <c r="E105">
        <v>251</v>
      </c>
      <c r="F105">
        <v>841</v>
      </c>
      <c r="G105">
        <v>1.19</v>
      </c>
      <c r="H105">
        <v>0.2975</v>
      </c>
      <c r="K105">
        <v>1</v>
      </c>
      <c r="L105" t="s">
        <v>19</v>
      </c>
      <c r="M105" t="s">
        <v>18</v>
      </c>
      <c r="N105">
        <v>1.2325</v>
      </c>
    </row>
    <row r="106" spans="1:14">
      <c r="A106" t="s">
        <v>123</v>
      </c>
      <c r="B106" t="s">
        <v>13</v>
      </c>
      <c r="C106">
        <v>3</v>
      </c>
      <c r="D106" t="s">
        <v>9</v>
      </c>
      <c r="E106">
        <v>1581</v>
      </c>
      <c r="F106">
        <v>869</v>
      </c>
      <c r="G106">
        <v>7.28</v>
      </c>
      <c r="H106">
        <v>1.82</v>
      </c>
      <c r="K106">
        <v>1</v>
      </c>
      <c r="L106" t="s">
        <v>19</v>
      </c>
      <c r="M106" t="s">
        <v>18</v>
      </c>
      <c r="N106">
        <v>0.84</v>
      </c>
    </row>
    <row r="107" spans="1:14">
      <c r="A107" t="s">
        <v>124</v>
      </c>
      <c r="B107" t="s">
        <v>16</v>
      </c>
      <c r="C107">
        <v>3</v>
      </c>
      <c r="D107" t="s">
        <v>9</v>
      </c>
      <c r="E107">
        <v>1132</v>
      </c>
      <c r="F107">
        <v>843</v>
      </c>
      <c r="G107">
        <v>5.37</v>
      </c>
      <c r="H107">
        <v>1.3425</v>
      </c>
      <c r="K107">
        <v>1</v>
      </c>
      <c r="L107" t="s">
        <v>19</v>
      </c>
      <c r="M107" t="s">
        <v>18</v>
      </c>
      <c r="N107">
        <v>2.035</v>
      </c>
    </row>
    <row r="108" spans="1:14">
      <c r="A108" t="s">
        <v>125</v>
      </c>
      <c r="B108" t="s">
        <v>20</v>
      </c>
      <c r="C108">
        <v>3</v>
      </c>
      <c r="D108" t="s">
        <v>9</v>
      </c>
      <c r="E108">
        <v>3810</v>
      </c>
      <c r="F108">
        <v>867</v>
      </c>
      <c r="G108">
        <v>17.58</v>
      </c>
      <c r="H108">
        <v>4.395</v>
      </c>
      <c r="K108">
        <v>2</v>
      </c>
      <c r="L108" t="s">
        <v>19</v>
      </c>
      <c r="M108" t="s">
        <v>18</v>
      </c>
      <c r="N108">
        <v>0.6125</v>
      </c>
    </row>
    <row r="109" spans="1:14">
      <c r="A109" t="s">
        <v>126</v>
      </c>
      <c r="B109" t="s">
        <v>35</v>
      </c>
      <c r="C109">
        <v>3</v>
      </c>
      <c r="D109" t="s">
        <v>9</v>
      </c>
      <c r="E109">
        <v>4219</v>
      </c>
      <c r="F109">
        <v>870</v>
      </c>
      <c r="G109">
        <v>19.4</v>
      </c>
      <c r="H109">
        <v>4.85</v>
      </c>
      <c r="K109">
        <v>2</v>
      </c>
      <c r="L109" t="s">
        <v>19</v>
      </c>
      <c r="M109" t="s">
        <v>18</v>
      </c>
      <c r="N109">
        <v>0.53</v>
      </c>
    </row>
    <row r="110" spans="1:14">
      <c r="A110" t="s">
        <v>127</v>
      </c>
      <c r="B110" t="s">
        <v>18</v>
      </c>
      <c r="C110">
        <v>3</v>
      </c>
      <c r="D110" t="s">
        <v>9</v>
      </c>
      <c r="E110">
        <v>2728</v>
      </c>
      <c r="F110">
        <v>869</v>
      </c>
      <c r="G110">
        <v>12.56</v>
      </c>
      <c r="H110">
        <v>3.14</v>
      </c>
      <c r="K110">
        <v>2</v>
      </c>
      <c r="L110" t="s">
        <v>19</v>
      </c>
      <c r="M110" t="s">
        <v>18</v>
      </c>
      <c r="N110">
        <v>1.1625</v>
      </c>
    </row>
    <row r="111" spans="1:14">
      <c r="A111" t="s">
        <v>128</v>
      </c>
      <c r="B111" t="s">
        <v>22</v>
      </c>
      <c r="C111">
        <v>3</v>
      </c>
      <c r="D111" t="s">
        <v>9</v>
      </c>
      <c r="E111">
        <v>915</v>
      </c>
      <c r="F111">
        <v>841</v>
      </c>
      <c r="G111">
        <v>4.35</v>
      </c>
      <c r="H111">
        <v>1.0875</v>
      </c>
      <c r="K111">
        <v>2</v>
      </c>
      <c r="L111" t="s">
        <v>19</v>
      </c>
      <c r="M111" t="s">
        <v>18</v>
      </c>
      <c r="N111">
        <v>0.8</v>
      </c>
    </row>
    <row r="112" spans="1:14">
      <c r="A112" t="s">
        <v>129</v>
      </c>
      <c r="B112" t="s">
        <v>8</v>
      </c>
      <c r="C112">
        <v>3</v>
      </c>
      <c r="D112" t="s">
        <v>9</v>
      </c>
      <c r="E112">
        <v>1464</v>
      </c>
      <c r="F112">
        <v>887</v>
      </c>
      <c r="G112">
        <v>6.6</v>
      </c>
      <c r="H112">
        <v>1.65</v>
      </c>
      <c r="K112">
        <v>2</v>
      </c>
      <c r="L112" t="s">
        <v>19</v>
      </c>
      <c r="M112" t="s">
        <v>18</v>
      </c>
      <c r="N112">
        <v>1.985</v>
      </c>
    </row>
    <row r="113" spans="1:14">
      <c r="A113" t="s">
        <v>130</v>
      </c>
      <c r="B113" t="s">
        <v>41</v>
      </c>
      <c r="C113">
        <v>3</v>
      </c>
      <c r="D113" t="s">
        <v>9</v>
      </c>
      <c r="E113">
        <v>697</v>
      </c>
      <c r="F113">
        <v>841</v>
      </c>
      <c r="G113">
        <v>3.32</v>
      </c>
      <c r="H113">
        <v>0.83</v>
      </c>
      <c r="K113">
        <v>3</v>
      </c>
      <c r="L113" t="s">
        <v>19</v>
      </c>
      <c r="M113" t="s">
        <v>18</v>
      </c>
      <c r="N113">
        <v>0.385</v>
      </c>
    </row>
    <row r="114" spans="1:14">
      <c r="A114" t="s">
        <v>131</v>
      </c>
      <c r="B114" t="s">
        <v>13</v>
      </c>
      <c r="C114">
        <v>3</v>
      </c>
      <c r="D114" t="s">
        <v>9</v>
      </c>
      <c r="E114">
        <v>3947</v>
      </c>
      <c r="F114">
        <v>860</v>
      </c>
      <c r="G114">
        <v>18.36</v>
      </c>
      <c r="H114">
        <v>4.59</v>
      </c>
      <c r="K114">
        <v>3</v>
      </c>
      <c r="L114" t="s">
        <v>19</v>
      </c>
      <c r="M114" t="s">
        <v>18</v>
      </c>
      <c r="N114">
        <v>0.4</v>
      </c>
    </row>
    <row r="115" spans="1:14">
      <c r="A115" t="s">
        <v>132</v>
      </c>
      <c r="B115" t="s">
        <v>16</v>
      </c>
      <c r="C115">
        <v>3</v>
      </c>
      <c r="D115" t="s">
        <v>9</v>
      </c>
      <c r="E115">
        <v>3805</v>
      </c>
      <c r="F115">
        <v>865</v>
      </c>
      <c r="G115">
        <v>17.6</v>
      </c>
      <c r="H115">
        <v>4.4</v>
      </c>
      <c r="K115">
        <v>3</v>
      </c>
      <c r="L115" t="s">
        <v>19</v>
      </c>
      <c r="M115" t="s">
        <v>18</v>
      </c>
      <c r="N115">
        <v>0.67</v>
      </c>
    </row>
    <row r="116" spans="1:14">
      <c r="A116" t="s">
        <v>133</v>
      </c>
      <c r="B116" t="s">
        <v>20</v>
      </c>
      <c r="C116">
        <v>3</v>
      </c>
      <c r="D116" t="s">
        <v>9</v>
      </c>
      <c r="E116">
        <v>2580</v>
      </c>
      <c r="F116">
        <v>841</v>
      </c>
      <c r="G116">
        <v>12.27</v>
      </c>
      <c r="H116">
        <v>3.0675</v>
      </c>
      <c r="K116">
        <v>3</v>
      </c>
      <c r="L116" t="s">
        <v>19</v>
      </c>
      <c r="M116" t="s">
        <v>18</v>
      </c>
      <c r="N116">
        <v>0.7</v>
      </c>
    </row>
    <row r="117" spans="1:14">
      <c r="A117" t="s">
        <v>134</v>
      </c>
      <c r="B117" t="s">
        <v>35</v>
      </c>
      <c r="C117">
        <v>3</v>
      </c>
      <c r="D117" t="s">
        <v>9</v>
      </c>
      <c r="E117">
        <v>1256</v>
      </c>
      <c r="F117">
        <v>870</v>
      </c>
      <c r="G117">
        <v>5.77</v>
      </c>
      <c r="H117">
        <v>1.4425</v>
      </c>
      <c r="K117">
        <v>3</v>
      </c>
      <c r="L117" t="s">
        <v>19</v>
      </c>
      <c r="M117" t="s">
        <v>18</v>
      </c>
      <c r="N117">
        <v>1.7075</v>
      </c>
    </row>
    <row r="118" spans="1:14">
      <c r="A118" t="s">
        <v>135</v>
      </c>
      <c r="B118" t="s">
        <v>18</v>
      </c>
      <c r="C118">
        <v>3</v>
      </c>
      <c r="D118" t="s">
        <v>9</v>
      </c>
      <c r="E118">
        <v>894</v>
      </c>
      <c r="F118">
        <v>868</v>
      </c>
      <c r="G118">
        <v>4.12</v>
      </c>
      <c r="H118">
        <v>1.03</v>
      </c>
      <c r="K118">
        <v>0</v>
      </c>
      <c r="L118" t="s">
        <v>19</v>
      </c>
      <c r="M118" t="s">
        <v>35</v>
      </c>
      <c r="N118">
        <v>0.5175</v>
      </c>
    </row>
    <row r="119" spans="1:14">
      <c r="A119" t="s">
        <v>136</v>
      </c>
      <c r="B119" t="s">
        <v>22</v>
      </c>
      <c r="C119">
        <v>3</v>
      </c>
      <c r="D119" t="s">
        <v>9</v>
      </c>
      <c r="E119">
        <v>2070</v>
      </c>
      <c r="F119">
        <v>870</v>
      </c>
      <c r="G119">
        <v>9.52</v>
      </c>
      <c r="H119">
        <v>2.38</v>
      </c>
      <c r="K119">
        <v>0</v>
      </c>
      <c r="L119" t="s">
        <v>19</v>
      </c>
      <c r="M119" t="s">
        <v>35</v>
      </c>
      <c r="N119">
        <v>0.815</v>
      </c>
    </row>
    <row r="120" spans="1:14">
      <c r="A120" t="s">
        <v>137</v>
      </c>
      <c r="B120" t="s">
        <v>8</v>
      </c>
      <c r="C120">
        <v>3</v>
      </c>
      <c r="D120" t="s">
        <v>9</v>
      </c>
      <c r="E120">
        <v>1682</v>
      </c>
      <c r="F120">
        <v>863</v>
      </c>
      <c r="G120">
        <v>7.8</v>
      </c>
      <c r="H120">
        <v>1.95</v>
      </c>
      <c r="K120">
        <v>0</v>
      </c>
      <c r="L120" t="s">
        <v>19</v>
      </c>
      <c r="M120" t="s">
        <v>35</v>
      </c>
      <c r="N120">
        <v>0.95</v>
      </c>
    </row>
    <row r="121" spans="1:14">
      <c r="A121" t="s">
        <v>138</v>
      </c>
      <c r="B121" t="s">
        <v>41</v>
      </c>
      <c r="C121">
        <v>3</v>
      </c>
      <c r="D121" t="s">
        <v>9</v>
      </c>
      <c r="E121">
        <v>518</v>
      </c>
      <c r="F121">
        <v>841</v>
      </c>
      <c r="G121">
        <v>2.46</v>
      </c>
      <c r="H121">
        <v>0.615</v>
      </c>
      <c r="K121">
        <v>0</v>
      </c>
      <c r="L121" t="s">
        <v>19</v>
      </c>
      <c r="M121" t="s">
        <v>35</v>
      </c>
      <c r="N121">
        <v>0.6825</v>
      </c>
    </row>
    <row r="122" spans="1:14">
      <c r="A122" t="s">
        <v>139</v>
      </c>
      <c r="B122" t="s">
        <v>13</v>
      </c>
      <c r="C122">
        <v>3</v>
      </c>
      <c r="D122" t="s">
        <v>9</v>
      </c>
      <c r="E122">
        <v>1179</v>
      </c>
      <c r="F122">
        <v>840</v>
      </c>
      <c r="G122">
        <v>5.61</v>
      </c>
      <c r="H122">
        <v>1.4025</v>
      </c>
      <c r="K122">
        <v>0</v>
      </c>
      <c r="L122" t="s">
        <v>19</v>
      </c>
      <c r="M122" t="s">
        <v>35</v>
      </c>
      <c r="N122">
        <v>0.645</v>
      </c>
    </row>
    <row r="123" spans="1:14">
      <c r="A123" t="s">
        <v>140</v>
      </c>
      <c r="B123" t="s">
        <v>16</v>
      </c>
      <c r="C123">
        <v>3</v>
      </c>
      <c r="D123" t="s">
        <v>9</v>
      </c>
      <c r="E123">
        <v>1022</v>
      </c>
      <c r="F123">
        <v>870</v>
      </c>
      <c r="G123">
        <v>4.7</v>
      </c>
      <c r="H123">
        <v>1.175</v>
      </c>
      <c r="K123">
        <v>1</v>
      </c>
      <c r="L123" t="s">
        <v>19</v>
      </c>
      <c r="M123" t="s">
        <v>35</v>
      </c>
      <c r="N123">
        <v>0.61</v>
      </c>
    </row>
    <row r="124" spans="1:14">
      <c r="A124" t="s">
        <v>141</v>
      </c>
      <c r="B124" t="s">
        <v>20</v>
      </c>
      <c r="C124">
        <v>3</v>
      </c>
      <c r="D124" t="s">
        <v>9</v>
      </c>
      <c r="E124">
        <v>3410</v>
      </c>
      <c r="F124">
        <v>866</v>
      </c>
      <c r="G124">
        <v>15.75</v>
      </c>
      <c r="H124">
        <v>3.9375</v>
      </c>
      <c r="K124">
        <v>1</v>
      </c>
      <c r="L124" t="s">
        <v>19</v>
      </c>
      <c r="M124" t="s">
        <v>35</v>
      </c>
      <c r="N124">
        <v>1.0075</v>
      </c>
    </row>
    <row r="125" spans="1:14">
      <c r="A125" t="s">
        <v>142</v>
      </c>
      <c r="B125" t="s">
        <v>35</v>
      </c>
      <c r="C125">
        <v>3</v>
      </c>
      <c r="D125" t="s">
        <v>9</v>
      </c>
      <c r="E125">
        <v>2597</v>
      </c>
      <c r="F125">
        <v>869</v>
      </c>
      <c r="G125">
        <v>11.95</v>
      </c>
      <c r="H125">
        <v>2.9875</v>
      </c>
      <c r="K125">
        <v>1</v>
      </c>
      <c r="L125" t="s">
        <v>19</v>
      </c>
      <c r="M125" t="s">
        <v>35</v>
      </c>
      <c r="N125">
        <v>1.0925</v>
      </c>
    </row>
    <row r="126" spans="1:14">
      <c r="A126" t="s">
        <v>143</v>
      </c>
      <c r="B126" t="s">
        <v>18</v>
      </c>
      <c r="C126">
        <v>3</v>
      </c>
      <c r="D126" t="s">
        <v>9</v>
      </c>
      <c r="E126">
        <v>2279</v>
      </c>
      <c r="F126">
        <v>841</v>
      </c>
      <c r="G126">
        <v>10.84</v>
      </c>
      <c r="H126">
        <v>2.71</v>
      </c>
      <c r="K126">
        <v>1</v>
      </c>
      <c r="L126" t="s">
        <v>19</v>
      </c>
      <c r="M126" t="s">
        <v>35</v>
      </c>
      <c r="N126">
        <v>0.9125</v>
      </c>
    </row>
    <row r="127" spans="1:14">
      <c r="A127" t="s">
        <v>144</v>
      </c>
      <c r="B127" t="s">
        <v>22</v>
      </c>
      <c r="C127">
        <v>3</v>
      </c>
      <c r="D127" t="s">
        <v>9</v>
      </c>
      <c r="E127">
        <v>1381</v>
      </c>
      <c r="F127">
        <v>868</v>
      </c>
      <c r="G127">
        <v>6.36</v>
      </c>
      <c r="H127">
        <v>1.59</v>
      </c>
      <c r="K127">
        <v>1</v>
      </c>
      <c r="L127" t="s">
        <v>19</v>
      </c>
      <c r="M127" t="s">
        <v>35</v>
      </c>
      <c r="N127">
        <v>0.815</v>
      </c>
    </row>
    <row r="128" spans="1:14">
      <c r="A128" t="s">
        <v>145</v>
      </c>
      <c r="B128" t="s">
        <v>8</v>
      </c>
      <c r="C128">
        <v>3</v>
      </c>
      <c r="D128" t="s">
        <v>9</v>
      </c>
      <c r="E128">
        <v>1825</v>
      </c>
      <c r="F128">
        <v>862</v>
      </c>
      <c r="G128">
        <v>8.47</v>
      </c>
      <c r="H128">
        <v>2.1175</v>
      </c>
      <c r="K128">
        <v>2</v>
      </c>
      <c r="L128" t="s">
        <v>19</v>
      </c>
      <c r="M128" t="s">
        <v>35</v>
      </c>
      <c r="N128">
        <v>0.5025</v>
      </c>
    </row>
    <row r="129" spans="1:14">
      <c r="A129" t="s">
        <v>146</v>
      </c>
      <c r="B129" t="s">
        <v>41</v>
      </c>
      <c r="C129">
        <v>3</v>
      </c>
      <c r="D129" t="s">
        <v>9</v>
      </c>
      <c r="E129">
        <v>563</v>
      </c>
      <c r="F129">
        <v>862</v>
      </c>
      <c r="G129">
        <v>2.61</v>
      </c>
      <c r="H129">
        <v>0.6525</v>
      </c>
      <c r="K129">
        <v>2</v>
      </c>
      <c r="L129" t="s">
        <v>19</v>
      </c>
      <c r="M129" t="s">
        <v>35</v>
      </c>
      <c r="N129">
        <v>0.7775</v>
      </c>
    </row>
    <row r="130" spans="1:14">
      <c r="A130" t="s">
        <v>147</v>
      </c>
      <c r="B130" t="s">
        <v>13</v>
      </c>
      <c r="C130">
        <v>3</v>
      </c>
      <c r="D130" t="s">
        <v>9</v>
      </c>
      <c r="E130">
        <v>5301</v>
      </c>
      <c r="F130">
        <v>844</v>
      </c>
      <c r="G130">
        <v>25.12</v>
      </c>
      <c r="H130">
        <v>6.28</v>
      </c>
      <c r="K130">
        <v>2</v>
      </c>
      <c r="L130" t="s">
        <v>19</v>
      </c>
      <c r="M130" t="s">
        <v>35</v>
      </c>
      <c r="N130">
        <v>1.0775</v>
      </c>
    </row>
    <row r="131" spans="1:14">
      <c r="A131" t="s">
        <v>148</v>
      </c>
      <c r="B131" t="s">
        <v>16</v>
      </c>
      <c r="C131">
        <v>3</v>
      </c>
      <c r="D131" t="s">
        <v>9</v>
      </c>
      <c r="E131">
        <v>1786</v>
      </c>
      <c r="F131">
        <v>841</v>
      </c>
      <c r="G131">
        <v>8.49</v>
      </c>
      <c r="H131">
        <v>2.1225</v>
      </c>
      <c r="K131">
        <v>2</v>
      </c>
      <c r="L131" t="s">
        <v>19</v>
      </c>
      <c r="M131" t="s">
        <v>35</v>
      </c>
      <c r="N131">
        <v>0.8725</v>
      </c>
    </row>
    <row r="132" spans="1:14">
      <c r="A132" t="s">
        <v>149</v>
      </c>
      <c r="B132" t="s">
        <v>20</v>
      </c>
      <c r="C132">
        <v>3</v>
      </c>
      <c r="D132" t="s">
        <v>9</v>
      </c>
      <c r="E132">
        <v>8457</v>
      </c>
      <c r="F132">
        <v>870</v>
      </c>
      <c r="G132">
        <v>38.88</v>
      </c>
      <c r="H132">
        <v>9.72</v>
      </c>
      <c r="K132">
        <v>2</v>
      </c>
      <c r="L132" t="s">
        <v>19</v>
      </c>
      <c r="M132" t="s">
        <v>35</v>
      </c>
      <c r="N132">
        <v>0.735</v>
      </c>
    </row>
    <row r="133" spans="1:14">
      <c r="A133" t="s">
        <v>150</v>
      </c>
      <c r="B133" t="s">
        <v>35</v>
      </c>
      <c r="C133">
        <v>3</v>
      </c>
      <c r="D133" t="s">
        <v>9</v>
      </c>
      <c r="E133">
        <v>1113</v>
      </c>
      <c r="F133">
        <v>861</v>
      </c>
      <c r="G133">
        <v>5.17</v>
      </c>
      <c r="H133">
        <v>1.2925</v>
      </c>
      <c r="K133">
        <v>3</v>
      </c>
      <c r="L133" t="s">
        <v>19</v>
      </c>
      <c r="M133" t="s">
        <v>35</v>
      </c>
      <c r="N133">
        <v>0.36</v>
      </c>
    </row>
    <row r="134" spans="1:14">
      <c r="A134" t="s">
        <v>151</v>
      </c>
      <c r="B134" t="s">
        <v>18</v>
      </c>
      <c r="C134">
        <v>3</v>
      </c>
      <c r="D134" t="s">
        <v>9</v>
      </c>
      <c r="E134">
        <v>1844</v>
      </c>
      <c r="F134">
        <v>841</v>
      </c>
      <c r="G134">
        <v>8.77</v>
      </c>
      <c r="H134">
        <v>2.1925</v>
      </c>
      <c r="K134">
        <v>3</v>
      </c>
      <c r="L134" t="s">
        <v>19</v>
      </c>
      <c r="M134" t="s">
        <v>35</v>
      </c>
      <c r="N134">
        <v>0.6025</v>
      </c>
    </row>
    <row r="135" spans="1:14">
      <c r="A135" t="s">
        <v>152</v>
      </c>
      <c r="B135" t="s">
        <v>22</v>
      </c>
      <c r="C135">
        <v>3</v>
      </c>
      <c r="D135" t="s">
        <v>9</v>
      </c>
      <c r="E135">
        <v>500</v>
      </c>
      <c r="F135">
        <v>896</v>
      </c>
      <c r="G135">
        <v>2.23</v>
      </c>
      <c r="H135">
        <v>0.5575</v>
      </c>
      <c r="K135">
        <v>3</v>
      </c>
      <c r="L135" t="s">
        <v>19</v>
      </c>
      <c r="M135" t="s">
        <v>35</v>
      </c>
      <c r="N135">
        <v>0.8025</v>
      </c>
    </row>
    <row r="136" spans="1:14">
      <c r="A136" t="s">
        <v>153</v>
      </c>
      <c r="B136" t="s">
        <v>8</v>
      </c>
      <c r="C136">
        <v>2</v>
      </c>
      <c r="D136" t="s">
        <v>19</v>
      </c>
      <c r="E136">
        <v>887</v>
      </c>
      <c r="F136">
        <v>867</v>
      </c>
      <c r="G136">
        <v>4.09</v>
      </c>
      <c r="H136">
        <v>1.0225</v>
      </c>
      <c r="K136">
        <v>3</v>
      </c>
      <c r="L136" t="s">
        <v>19</v>
      </c>
      <c r="M136" t="s">
        <v>35</v>
      </c>
      <c r="N136">
        <v>0.81</v>
      </c>
    </row>
    <row r="137" spans="1:14">
      <c r="A137" t="s">
        <v>154</v>
      </c>
      <c r="B137" t="s">
        <v>41</v>
      </c>
      <c r="C137">
        <v>2</v>
      </c>
      <c r="D137" t="s">
        <v>19</v>
      </c>
      <c r="E137">
        <v>153</v>
      </c>
      <c r="F137">
        <v>869</v>
      </c>
      <c r="G137">
        <v>0.7</v>
      </c>
      <c r="H137">
        <v>0.175</v>
      </c>
      <c r="K137">
        <v>3</v>
      </c>
      <c r="L137" t="s">
        <v>19</v>
      </c>
      <c r="M137" t="s">
        <v>35</v>
      </c>
      <c r="N137">
        <v>0.5275</v>
      </c>
    </row>
    <row r="138" spans="1:14">
      <c r="A138" t="s">
        <v>155</v>
      </c>
      <c r="B138" t="s">
        <v>13</v>
      </c>
      <c r="C138">
        <v>2</v>
      </c>
      <c r="D138" t="s">
        <v>19</v>
      </c>
      <c r="E138">
        <v>710</v>
      </c>
      <c r="F138">
        <v>842</v>
      </c>
      <c r="G138">
        <v>3.37</v>
      </c>
      <c r="H138">
        <v>0.8425</v>
      </c>
      <c r="K138">
        <v>0</v>
      </c>
      <c r="L138" t="s">
        <v>19</v>
      </c>
      <c r="M138" t="s">
        <v>20</v>
      </c>
      <c r="N138">
        <v>1.215</v>
      </c>
    </row>
    <row r="139" spans="1:14">
      <c r="A139" t="s">
        <v>156</v>
      </c>
      <c r="B139" t="s">
        <v>16</v>
      </c>
      <c r="C139">
        <v>2</v>
      </c>
      <c r="D139" t="s">
        <v>19</v>
      </c>
      <c r="E139">
        <v>396</v>
      </c>
      <c r="F139">
        <v>870</v>
      </c>
      <c r="G139">
        <v>1.82</v>
      </c>
      <c r="H139">
        <v>0.455</v>
      </c>
      <c r="K139">
        <v>0</v>
      </c>
      <c r="L139" t="s">
        <v>19</v>
      </c>
      <c r="M139" t="s">
        <v>20</v>
      </c>
      <c r="N139">
        <v>1.765</v>
      </c>
    </row>
    <row r="140" spans="1:14">
      <c r="A140" t="s">
        <v>157</v>
      </c>
      <c r="B140" t="s">
        <v>20</v>
      </c>
      <c r="C140">
        <v>2</v>
      </c>
      <c r="D140" t="s">
        <v>19</v>
      </c>
      <c r="E140">
        <v>842</v>
      </c>
      <c r="F140">
        <v>841</v>
      </c>
      <c r="G140">
        <v>4</v>
      </c>
      <c r="H140">
        <v>1</v>
      </c>
      <c r="K140">
        <v>0</v>
      </c>
      <c r="L140" t="s">
        <v>19</v>
      </c>
      <c r="M140" t="s">
        <v>20</v>
      </c>
      <c r="N140">
        <v>1.37</v>
      </c>
    </row>
    <row r="141" spans="1:14">
      <c r="A141" t="s">
        <v>158</v>
      </c>
      <c r="B141" t="s">
        <v>35</v>
      </c>
      <c r="C141">
        <v>2</v>
      </c>
      <c r="D141" t="s">
        <v>19</v>
      </c>
      <c r="E141">
        <v>443</v>
      </c>
      <c r="F141">
        <v>881</v>
      </c>
      <c r="G141">
        <v>2.01</v>
      </c>
      <c r="H141">
        <v>0.5025</v>
      </c>
      <c r="K141">
        <v>0</v>
      </c>
      <c r="L141" t="s">
        <v>19</v>
      </c>
      <c r="M141" t="s">
        <v>20</v>
      </c>
      <c r="N141">
        <v>2.1075</v>
      </c>
    </row>
    <row r="142" spans="1:14">
      <c r="A142" t="s">
        <v>159</v>
      </c>
      <c r="B142" t="s">
        <v>18</v>
      </c>
      <c r="C142">
        <v>2</v>
      </c>
      <c r="D142" t="s">
        <v>19</v>
      </c>
      <c r="E142">
        <v>527</v>
      </c>
      <c r="F142">
        <v>861</v>
      </c>
      <c r="G142">
        <v>2.45</v>
      </c>
      <c r="H142">
        <v>0.6125</v>
      </c>
      <c r="K142">
        <v>0</v>
      </c>
      <c r="L142" t="s">
        <v>19</v>
      </c>
      <c r="M142" t="s">
        <v>20</v>
      </c>
      <c r="N142">
        <v>1.5925</v>
      </c>
    </row>
    <row r="143" spans="1:14">
      <c r="A143" t="s">
        <v>160</v>
      </c>
      <c r="B143" t="s">
        <v>22</v>
      </c>
      <c r="C143">
        <v>2</v>
      </c>
      <c r="D143" t="s">
        <v>19</v>
      </c>
      <c r="E143">
        <v>397</v>
      </c>
      <c r="F143">
        <v>865</v>
      </c>
      <c r="G143">
        <v>1.84</v>
      </c>
      <c r="H143">
        <v>0.46</v>
      </c>
      <c r="K143">
        <v>1</v>
      </c>
      <c r="L143" t="s">
        <v>19</v>
      </c>
      <c r="M143" t="s">
        <v>20</v>
      </c>
      <c r="N143">
        <v>1.225</v>
      </c>
    </row>
    <row r="144" spans="1:14">
      <c r="A144" t="s">
        <v>161</v>
      </c>
      <c r="B144" t="s">
        <v>8</v>
      </c>
      <c r="C144">
        <v>2</v>
      </c>
      <c r="D144" t="s">
        <v>19</v>
      </c>
      <c r="E144">
        <v>772</v>
      </c>
      <c r="F144">
        <v>841</v>
      </c>
      <c r="G144">
        <v>3.67</v>
      </c>
      <c r="H144">
        <v>0.9175</v>
      </c>
      <c r="K144">
        <v>1</v>
      </c>
      <c r="L144" t="s">
        <v>19</v>
      </c>
      <c r="M144" t="s">
        <v>20</v>
      </c>
      <c r="N144">
        <v>2.0025</v>
      </c>
    </row>
    <row r="145" spans="1:14">
      <c r="A145" t="s">
        <v>162</v>
      </c>
      <c r="B145" t="s">
        <v>41</v>
      </c>
      <c r="C145">
        <v>2</v>
      </c>
      <c r="D145" t="s">
        <v>19</v>
      </c>
      <c r="E145">
        <v>102</v>
      </c>
      <c r="F145">
        <v>863</v>
      </c>
      <c r="G145">
        <v>0.47</v>
      </c>
      <c r="H145">
        <v>0.1175</v>
      </c>
      <c r="K145">
        <v>1</v>
      </c>
      <c r="L145" t="s">
        <v>19</v>
      </c>
      <c r="M145" t="s">
        <v>20</v>
      </c>
      <c r="N145">
        <v>1.5675</v>
      </c>
    </row>
    <row r="146" spans="1:14">
      <c r="A146" t="s">
        <v>163</v>
      </c>
      <c r="B146" t="s">
        <v>13</v>
      </c>
      <c r="C146">
        <v>2</v>
      </c>
      <c r="D146" t="s">
        <v>19</v>
      </c>
      <c r="E146">
        <v>536</v>
      </c>
      <c r="F146">
        <v>841</v>
      </c>
      <c r="G146">
        <v>2.55</v>
      </c>
      <c r="H146">
        <v>0.6375</v>
      </c>
      <c r="K146">
        <v>1</v>
      </c>
      <c r="L146" t="s">
        <v>19</v>
      </c>
      <c r="M146" t="s">
        <v>20</v>
      </c>
      <c r="N146">
        <v>2.765</v>
      </c>
    </row>
    <row r="147" spans="1:14">
      <c r="A147" t="s">
        <v>164</v>
      </c>
      <c r="B147" t="s">
        <v>16</v>
      </c>
      <c r="C147">
        <v>2</v>
      </c>
      <c r="D147" t="s">
        <v>19</v>
      </c>
      <c r="E147">
        <v>795</v>
      </c>
      <c r="F147">
        <v>864</v>
      </c>
      <c r="G147">
        <v>3.68</v>
      </c>
      <c r="H147">
        <v>0.92</v>
      </c>
      <c r="K147">
        <v>1</v>
      </c>
      <c r="L147" t="s">
        <v>19</v>
      </c>
      <c r="M147" t="s">
        <v>20</v>
      </c>
      <c r="N147">
        <v>1.765</v>
      </c>
    </row>
    <row r="148" spans="1:14">
      <c r="A148" t="s">
        <v>165</v>
      </c>
      <c r="B148" t="s">
        <v>20</v>
      </c>
      <c r="C148">
        <v>2</v>
      </c>
      <c r="D148" t="s">
        <v>19</v>
      </c>
      <c r="E148">
        <v>1501</v>
      </c>
      <c r="F148">
        <v>862</v>
      </c>
      <c r="G148">
        <v>6.97</v>
      </c>
      <c r="H148">
        <v>1.7425</v>
      </c>
      <c r="K148">
        <v>2</v>
      </c>
      <c r="L148" t="s">
        <v>19</v>
      </c>
      <c r="M148" t="s">
        <v>20</v>
      </c>
      <c r="N148">
        <v>1</v>
      </c>
    </row>
    <row r="149" spans="1:14">
      <c r="A149" t="s">
        <v>166</v>
      </c>
      <c r="B149" t="s">
        <v>35</v>
      </c>
      <c r="C149">
        <v>2</v>
      </c>
      <c r="D149" t="s">
        <v>19</v>
      </c>
      <c r="E149">
        <v>677</v>
      </c>
      <c r="F149">
        <v>870</v>
      </c>
      <c r="G149">
        <v>3.11</v>
      </c>
      <c r="H149">
        <v>0.7775</v>
      </c>
      <c r="K149">
        <v>2</v>
      </c>
      <c r="L149" t="s">
        <v>19</v>
      </c>
      <c r="M149" t="s">
        <v>20</v>
      </c>
      <c r="N149">
        <v>1.7425</v>
      </c>
    </row>
    <row r="150" spans="1:14">
      <c r="A150" t="s">
        <v>167</v>
      </c>
      <c r="B150" t="s">
        <v>18</v>
      </c>
      <c r="C150">
        <v>2</v>
      </c>
      <c r="D150" t="s">
        <v>19</v>
      </c>
      <c r="E150">
        <v>460</v>
      </c>
      <c r="F150">
        <v>868</v>
      </c>
      <c r="G150">
        <v>2.12</v>
      </c>
      <c r="H150">
        <v>0.53</v>
      </c>
      <c r="K150">
        <v>2</v>
      </c>
      <c r="L150" t="s">
        <v>19</v>
      </c>
      <c r="M150" t="s">
        <v>20</v>
      </c>
      <c r="N150">
        <v>1.3675</v>
      </c>
    </row>
    <row r="151" spans="1:14">
      <c r="A151" t="s">
        <v>168</v>
      </c>
      <c r="B151" t="s">
        <v>22</v>
      </c>
      <c r="C151">
        <v>2</v>
      </c>
      <c r="D151" t="s">
        <v>19</v>
      </c>
      <c r="E151">
        <v>603</v>
      </c>
      <c r="F151">
        <v>868</v>
      </c>
      <c r="G151">
        <v>2.78</v>
      </c>
      <c r="H151">
        <v>0.695</v>
      </c>
      <c r="K151">
        <v>2</v>
      </c>
      <c r="L151" t="s">
        <v>19</v>
      </c>
      <c r="M151" t="s">
        <v>20</v>
      </c>
      <c r="N151">
        <v>2.5325</v>
      </c>
    </row>
    <row r="152" spans="1:14">
      <c r="A152" t="s">
        <v>169</v>
      </c>
      <c r="B152" t="s">
        <v>8</v>
      </c>
      <c r="C152">
        <v>2</v>
      </c>
      <c r="D152" t="s">
        <v>19</v>
      </c>
      <c r="E152">
        <v>1493</v>
      </c>
      <c r="F152">
        <v>842</v>
      </c>
      <c r="G152">
        <v>7.09</v>
      </c>
      <c r="H152">
        <v>1.7725</v>
      </c>
      <c r="K152">
        <v>2</v>
      </c>
      <c r="L152" t="s">
        <v>19</v>
      </c>
      <c r="M152" t="s">
        <v>20</v>
      </c>
      <c r="N152">
        <v>1.3975</v>
      </c>
    </row>
    <row r="153" spans="1:14">
      <c r="A153" t="s">
        <v>170</v>
      </c>
      <c r="B153" t="s">
        <v>41</v>
      </c>
      <c r="C153">
        <v>2</v>
      </c>
      <c r="D153" t="s">
        <v>19</v>
      </c>
      <c r="E153">
        <v>55</v>
      </c>
      <c r="F153">
        <v>865</v>
      </c>
      <c r="G153">
        <v>0.25</v>
      </c>
      <c r="H153">
        <v>0.0625</v>
      </c>
      <c r="K153">
        <v>3</v>
      </c>
      <c r="L153" t="s">
        <v>19</v>
      </c>
      <c r="M153" t="s">
        <v>20</v>
      </c>
      <c r="N153">
        <v>0.39</v>
      </c>
    </row>
    <row r="154" spans="1:14">
      <c r="A154" t="s">
        <v>171</v>
      </c>
      <c r="B154" t="s">
        <v>13</v>
      </c>
      <c r="C154">
        <v>2</v>
      </c>
      <c r="D154" t="s">
        <v>19</v>
      </c>
      <c r="E154">
        <v>509</v>
      </c>
      <c r="F154">
        <v>869</v>
      </c>
      <c r="G154">
        <v>2.34</v>
      </c>
      <c r="H154">
        <v>0.585</v>
      </c>
      <c r="K154">
        <v>3</v>
      </c>
      <c r="L154" t="s">
        <v>19</v>
      </c>
      <c r="M154" t="s">
        <v>20</v>
      </c>
      <c r="N154">
        <v>1.3675</v>
      </c>
    </row>
    <row r="155" spans="1:14">
      <c r="A155" t="s">
        <v>172</v>
      </c>
      <c r="B155" t="s">
        <v>16</v>
      </c>
      <c r="C155">
        <v>2</v>
      </c>
      <c r="D155" t="s">
        <v>19</v>
      </c>
      <c r="E155">
        <v>1225</v>
      </c>
      <c r="F155">
        <v>845</v>
      </c>
      <c r="G155">
        <v>5.8</v>
      </c>
      <c r="H155">
        <v>1.45</v>
      </c>
      <c r="K155">
        <v>3</v>
      </c>
      <c r="L155" t="s">
        <v>19</v>
      </c>
      <c r="M155" t="s">
        <v>20</v>
      </c>
      <c r="N155">
        <v>1.11</v>
      </c>
    </row>
    <row r="156" spans="1:14">
      <c r="A156" t="s">
        <v>173</v>
      </c>
      <c r="B156" t="s">
        <v>20</v>
      </c>
      <c r="C156">
        <v>2</v>
      </c>
      <c r="D156" t="s">
        <v>19</v>
      </c>
      <c r="E156">
        <v>1181</v>
      </c>
      <c r="F156">
        <v>864</v>
      </c>
      <c r="G156">
        <v>5.47</v>
      </c>
      <c r="H156">
        <v>1.3675</v>
      </c>
      <c r="K156">
        <v>3</v>
      </c>
      <c r="L156" t="s">
        <v>19</v>
      </c>
      <c r="M156" t="s">
        <v>20</v>
      </c>
      <c r="N156">
        <v>2.02</v>
      </c>
    </row>
    <row r="157" spans="1:14">
      <c r="A157" t="s">
        <v>174</v>
      </c>
      <c r="B157" t="s">
        <v>35</v>
      </c>
      <c r="C157">
        <v>2</v>
      </c>
      <c r="D157" t="s">
        <v>19</v>
      </c>
      <c r="E157">
        <v>907</v>
      </c>
      <c r="F157">
        <v>841</v>
      </c>
      <c r="G157">
        <v>4.31</v>
      </c>
      <c r="H157">
        <v>1.0775</v>
      </c>
      <c r="K157">
        <v>3</v>
      </c>
      <c r="L157" t="s">
        <v>19</v>
      </c>
      <c r="M157" t="s">
        <v>20</v>
      </c>
      <c r="N157">
        <v>0.5675</v>
      </c>
    </row>
    <row r="158" spans="1:14">
      <c r="A158" t="s">
        <v>175</v>
      </c>
      <c r="B158" t="s">
        <v>18</v>
      </c>
      <c r="C158">
        <v>2</v>
      </c>
      <c r="D158" t="s">
        <v>19</v>
      </c>
      <c r="E158">
        <v>977</v>
      </c>
      <c r="F158">
        <v>841</v>
      </c>
      <c r="G158">
        <v>4.65</v>
      </c>
      <c r="H158">
        <v>1.1625</v>
      </c>
      <c r="K158">
        <v>0</v>
      </c>
      <c r="L158" t="s">
        <v>10</v>
      </c>
      <c r="M158" t="s">
        <v>41</v>
      </c>
      <c r="N158">
        <v>0.195</v>
      </c>
    </row>
    <row r="159" spans="1:14">
      <c r="A159" t="s">
        <v>176</v>
      </c>
      <c r="B159" t="s">
        <v>22</v>
      </c>
      <c r="C159">
        <v>2</v>
      </c>
      <c r="D159" t="s">
        <v>19</v>
      </c>
      <c r="E159">
        <v>597</v>
      </c>
      <c r="F159">
        <v>841</v>
      </c>
      <c r="G159">
        <v>2.84</v>
      </c>
      <c r="H159">
        <v>0.71</v>
      </c>
      <c r="K159">
        <v>0</v>
      </c>
      <c r="L159" t="s">
        <v>10</v>
      </c>
      <c r="M159" t="s">
        <v>41</v>
      </c>
      <c r="N159">
        <v>0.2425</v>
      </c>
    </row>
    <row r="160" spans="1:14">
      <c r="A160" t="s">
        <v>177</v>
      </c>
      <c r="B160" t="s">
        <v>8</v>
      </c>
      <c r="C160">
        <v>2</v>
      </c>
      <c r="D160" t="s">
        <v>19</v>
      </c>
      <c r="E160">
        <v>533</v>
      </c>
      <c r="F160">
        <v>853</v>
      </c>
      <c r="G160">
        <v>2.5</v>
      </c>
      <c r="H160">
        <v>0.625</v>
      </c>
      <c r="K160">
        <v>0</v>
      </c>
      <c r="L160" t="s">
        <v>10</v>
      </c>
      <c r="M160" t="s">
        <v>41</v>
      </c>
      <c r="N160">
        <v>0.5</v>
      </c>
    </row>
    <row r="161" spans="1:14">
      <c r="A161" t="s">
        <v>178</v>
      </c>
      <c r="B161" t="s">
        <v>41</v>
      </c>
      <c r="C161">
        <v>2</v>
      </c>
      <c r="D161" t="s">
        <v>19</v>
      </c>
      <c r="E161">
        <v>146</v>
      </c>
      <c r="F161">
        <v>842</v>
      </c>
      <c r="G161">
        <v>0.69</v>
      </c>
      <c r="H161">
        <v>0.1725</v>
      </c>
      <c r="K161">
        <v>0</v>
      </c>
      <c r="L161" t="s">
        <v>10</v>
      </c>
      <c r="M161" t="s">
        <v>41</v>
      </c>
      <c r="N161">
        <v>0.2725</v>
      </c>
    </row>
    <row r="162" spans="1:14">
      <c r="A162" t="s">
        <v>179</v>
      </c>
      <c r="B162" t="s">
        <v>13</v>
      </c>
      <c r="C162">
        <v>2</v>
      </c>
      <c r="D162" t="s">
        <v>19</v>
      </c>
      <c r="E162">
        <v>1219</v>
      </c>
      <c r="F162">
        <v>842</v>
      </c>
      <c r="G162">
        <v>5.79</v>
      </c>
      <c r="H162">
        <v>1.4475</v>
      </c>
      <c r="K162">
        <v>1</v>
      </c>
      <c r="L162" t="s">
        <v>10</v>
      </c>
      <c r="M162" t="s">
        <v>41</v>
      </c>
      <c r="N162">
        <v>0.4175</v>
      </c>
    </row>
    <row r="163" spans="1:14">
      <c r="A163" t="s">
        <v>180</v>
      </c>
      <c r="B163" t="s">
        <v>16</v>
      </c>
      <c r="C163">
        <v>2</v>
      </c>
      <c r="D163" t="s">
        <v>19</v>
      </c>
      <c r="E163">
        <v>591</v>
      </c>
      <c r="F163">
        <v>869</v>
      </c>
      <c r="G163">
        <v>2.72</v>
      </c>
      <c r="H163">
        <v>0.68</v>
      </c>
      <c r="K163">
        <v>1</v>
      </c>
      <c r="L163" t="s">
        <v>10</v>
      </c>
      <c r="M163" t="s">
        <v>41</v>
      </c>
      <c r="N163">
        <v>0.435</v>
      </c>
    </row>
    <row r="164" spans="1:14">
      <c r="A164" t="s">
        <v>181</v>
      </c>
      <c r="B164" t="s">
        <v>20</v>
      </c>
      <c r="C164">
        <v>2</v>
      </c>
      <c r="D164" t="s">
        <v>19</v>
      </c>
      <c r="E164">
        <v>2201</v>
      </c>
      <c r="F164">
        <v>869</v>
      </c>
      <c r="G164">
        <v>10.13</v>
      </c>
      <c r="H164">
        <v>2.5325</v>
      </c>
      <c r="K164">
        <v>1</v>
      </c>
      <c r="L164" t="s">
        <v>10</v>
      </c>
      <c r="M164" t="s">
        <v>41</v>
      </c>
      <c r="N164">
        <v>0.6875</v>
      </c>
    </row>
    <row r="165" spans="1:14">
      <c r="A165" t="s">
        <v>182</v>
      </c>
      <c r="B165" t="s">
        <v>35</v>
      </c>
      <c r="C165">
        <v>2</v>
      </c>
      <c r="D165" t="s">
        <v>19</v>
      </c>
      <c r="E165">
        <v>734</v>
      </c>
      <c r="F165">
        <v>841</v>
      </c>
      <c r="G165">
        <v>3.49</v>
      </c>
      <c r="H165">
        <v>0.8725</v>
      </c>
      <c r="K165">
        <v>1</v>
      </c>
      <c r="L165" t="s">
        <v>10</v>
      </c>
      <c r="M165" t="s">
        <v>41</v>
      </c>
      <c r="N165">
        <v>0.6175</v>
      </c>
    </row>
    <row r="166" spans="1:14">
      <c r="A166" t="s">
        <v>183</v>
      </c>
      <c r="B166" t="s">
        <v>18</v>
      </c>
      <c r="C166">
        <v>2</v>
      </c>
      <c r="D166" t="s">
        <v>19</v>
      </c>
      <c r="E166">
        <v>699</v>
      </c>
      <c r="F166">
        <v>873</v>
      </c>
      <c r="G166">
        <v>3.2</v>
      </c>
      <c r="H166">
        <v>0.8</v>
      </c>
      <c r="K166">
        <v>2</v>
      </c>
      <c r="L166" t="s">
        <v>10</v>
      </c>
      <c r="M166" t="s">
        <v>41</v>
      </c>
      <c r="N166">
        <v>0.415</v>
      </c>
    </row>
    <row r="167" spans="1:14">
      <c r="A167" t="s">
        <v>184</v>
      </c>
      <c r="B167" t="s">
        <v>22</v>
      </c>
      <c r="C167">
        <v>2</v>
      </c>
      <c r="D167" t="s">
        <v>19</v>
      </c>
      <c r="E167">
        <v>1355</v>
      </c>
      <c r="F167">
        <v>870</v>
      </c>
      <c r="G167">
        <v>6.23</v>
      </c>
      <c r="H167">
        <v>1.5575</v>
      </c>
      <c r="K167">
        <v>2</v>
      </c>
      <c r="L167" t="s">
        <v>10</v>
      </c>
      <c r="M167" t="s">
        <v>41</v>
      </c>
      <c r="N167">
        <v>0.4025</v>
      </c>
    </row>
    <row r="168" spans="1:14">
      <c r="A168" t="s">
        <v>185</v>
      </c>
      <c r="B168" t="s">
        <v>8</v>
      </c>
      <c r="C168">
        <v>2</v>
      </c>
      <c r="D168" t="s">
        <v>19</v>
      </c>
      <c r="E168">
        <v>2434</v>
      </c>
      <c r="F168">
        <v>858</v>
      </c>
      <c r="G168">
        <v>11.35</v>
      </c>
      <c r="H168">
        <v>2.8375</v>
      </c>
      <c r="K168">
        <v>2</v>
      </c>
      <c r="L168" t="s">
        <v>10</v>
      </c>
      <c r="M168" t="s">
        <v>41</v>
      </c>
      <c r="N168">
        <v>0.6825</v>
      </c>
    </row>
    <row r="169" spans="1:14">
      <c r="A169" t="s">
        <v>186</v>
      </c>
      <c r="B169" t="s">
        <v>13</v>
      </c>
      <c r="C169">
        <v>2</v>
      </c>
      <c r="D169" t="s">
        <v>19</v>
      </c>
      <c r="E169">
        <v>752</v>
      </c>
      <c r="F169">
        <v>860</v>
      </c>
      <c r="G169">
        <v>3.5</v>
      </c>
      <c r="H169">
        <v>0.875</v>
      </c>
      <c r="K169">
        <v>2</v>
      </c>
      <c r="L169" t="s">
        <v>10</v>
      </c>
      <c r="M169" t="s">
        <v>41</v>
      </c>
      <c r="N169">
        <v>0.8625</v>
      </c>
    </row>
    <row r="170" spans="1:14">
      <c r="A170" t="s">
        <v>187</v>
      </c>
      <c r="B170" t="s">
        <v>16</v>
      </c>
      <c r="C170">
        <v>2</v>
      </c>
      <c r="D170" t="s">
        <v>19</v>
      </c>
      <c r="E170">
        <v>1979</v>
      </c>
      <c r="F170">
        <v>841</v>
      </c>
      <c r="G170">
        <v>9.41</v>
      </c>
      <c r="H170">
        <v>2.3525</v>
      </c>
      <c r="K170">
        <v>3</v>
      </c>
      <c r="L170" t="s">
        <v>10</v>
      </c>
      <c r="M170" t="s">
        <v>41</v>
      </c>
      <c r="N170">
        <v>0.3975</v>
      </c>
    </row>
    <row r="171" spans="1:14">
      <c r="A171" t="s">
        <v>188</v>
      </c>
      <c r="B171" t="s">
        <v>20</v>
      </c>
      <c r="C171">
        <v>2</v>
      </c>
      <c r="D171" t="s">
        <v>19</v>
      </c>
      <c r="E171">
        <v>1216</v>
      </c>
      <c r="F171">
        <v>870</v>
      </c>
      <c r="G171">
        <v>5.59</v>
      </c>
      <c r="H171">
        <v>1.3975</v>
      </c>
      <c r="K171">
        <v>3</v>
      </c>
      <c r="L171" t="s">
        <v>10</v>
      </c>
      <c r="M171" t="s">
        <v>41</v>
      </c>
      <c r="N171">
        <v>0.58</v>
      </c>
    </row>
    <row r="172" spans="1:14">
      <c r="A172" t="s">
        <v>189</v>
      </c>
      <c r="B172" t="s">
        <v>35</v>
      </c>
      <c r="C172">
        <v>2</v>
      </c>
      <c r="D172" t="s">
        <v>19</v>
      </c>
      <c r="E172">
        <v>618</v>
      </c>
      <c r="F172">
        <v>841</v>
      </c>
      <c r="G172">
        <v>2.94</v>
      </c>
      <c r="H172">
        <v>0.735</v>
      </c>
      <c r="K172">
        <v>3</v>
      </c>
      <c r="L172" t="s">
        <v>10</v>
      </c>
      <c r="M172" t="s">
        <v>41</v>
      </c>
      <c r="N172">
        <v>0.7575</v>
      </c>
    </row>
    <row r="173" spans="1:14">
      <c r="A173" t="s">
        <v>190</v>
      </c>
      <c r="B173" t="s">
        <v>18</v>
      </c>
      <c r="C173">
        <v>2</v>
      </c>
      <c r="D173" t="s">
        <v>19</v>
      </c>
      <c r="E173">
        <v>1711</v>
      </c>
      <c r="F173">
        <v>862</v>
      </c>
      <c r="G173">
        <v>7.94</v>
      </c>
      <c r="H173">
        <v>1.985</v>
      </c>
      <c r="K173">
        <v>3</v>
      </c>
      <c r="L173" t="s">
        <v>10</v>
      </c>
      <c r="M173" t="s">
        <v>41</v>
      </c>
      <c r="N173">
        <v>1.12</v>
      </c>
    </row>
    <row r="174" spans="1:14">
      <c r="A174" t="s">
        <v>191</v>
      </c>
      <c r="B174" t="s">
        <v>22</v>
      </c>
      <c r="C174">
        <v>2</v>
      </c>
      <c r="D174" t="s">
        <v>19</v>
      </c>
      <c r="E174">
        <v>437</v>
      </c>
      <c r="F174">
        <v>867</v>
      </c>
      <c r="G174">
        <v>2.02</v>
      </c>
      <c r="H174">
        <v>0.505</v>
      </c>
      <c r="K174">
        <v>0</v>
      </c>
      <c r="L174" t="s">
        <v>10</v>
      </c>
      <c r="M174" t="s">
        <v>8</v>
      </c>
      <c r="N174">
        <v>0.3725</v>
      </c>
    </row>
    <row r="175" spans="1:14">
      <c r="A175" t="s">
        <v>192</v>
      </c>
      <c r="B175" t="s">
        <v>8</v>
      </c>
      <c r="C175">
        <v>2</v>
      </c>
      <c r="D175" t="s">
        <v>10</v>
      </c>
      <c r="E175">
        <v>483</v>
      </c>
      <c r="F175">
        <v>869</v>
      </c>
      <c r="G175">
        <v>2.22</v>
      </c>
      <c r="H175">
        <v>0.555</v>
      </c>
      <c r="K175">
        <v>0</v>
      </c>
      <c r="L175" t="s">
        <v>10</v>
      </c>
      <c r="M175" t="s">
        <v>8</v>
      </c>
      <c r="N175">
        <v>0.535</v>
      </c>
    </row>
    <row r="176" spans="1:14">
      <c r="A176" t="s">
        <v>193</v>
      </c>
      <c r="B176" t="s">
        <v>41</v>
      </c>
      <c r="C176">
        <v>2</v>
      </c>
      <c r="D176" t="s">
        <v>10</v>
      </c>
      <c r="E176">
        <v>348</v>
      </c>
      <c r="F176">
        <v>841</v>
      </c>
      <c r="G176">
        <v>1.66</v>
      </c>
      <c r="H176">
        <v>0.415</v>
      </c>
      <c r="K176">
        <v>0</v>
      </c>
      <c r="L176" t="s">
        <v>10</v>
      </c>
      <c r="M176" t="s">
        <v>8</v>
      </c>
      <c r="N176">
        <v>0.225</v>
      </c>
    </row>
    <row r="177" spans="1:14">
      <c r="A177" t="s">
        <v>194</v>
      </c>
      <c r="B177" t="s">
        <v>13</v>
      </c>
      <c r="C177">
        <v>2</v>
      </c>
      <c r="D177" t="s">
        <v>10</v>
      </c>
      <c r="E177">
        <v>1650</v>
      </c>
      <c r="F177">
        <v>866</v>
      </c>
      <c r="G177">
        <v>7.62</v>
      </c>
      <c r="H177">
        <v>1.905</v>
      </c>
      <c r="K177">
        <v>0</v>
      </c>
      <c r="L177" t="s">
        <v>10</v>
      </c>
      <c r="M177" t="s">
        <v>8</v>
      </c>
      <c r="N177">
        <v>0.0625</v>
      </c>
    </row>
    <row r="178" spans="1:14">
      <c r="A178" t="s">
        <v>195</v>
      </c>
      <c r="B178" t="s">
        <v>16</v>
      </c>
      <c r="C178">
        <v>2</v>
      </c>
      <c r="D178" t="s">
        <v>10</v>
      </c>
      <c r="E178">
        <v>1024</v>
      </c>
      <c r="F178">
        <v>841</v>
      </c>
      <c r="G178">
        <v>4.87</v>
      </c>
      <c r="H178">
        <v>1.2175</v>
      </c>
      <c r="K178">
        <v>0</v>
      </c>
      <c r="L178" t="s">
        <v>10</v>
      </c>
      <c r="M178" t="s">
        <v>8</v>
      </c>
      <c r="N178">
        <v>1.8325</v>
      </c>
    </row>
    <row r="179" spans="1:14">
      <c r="A179" t="s">
        <v>196</v>
      </c>
      <c r="B179" t="s">
        <v>20</v>
      </c>
      <c r="C179">
        <v>2</v>
      </c>
      <c r="D179" t="s">
        <v>10</v>
      </c>
      <c r="E179">
        <v>1822</v>
      </c>
      <c r="F179">
        <v>857</v>
      </c>
      <c r="G179">
        <v>8.5</v>
      </c>
      <c r="H179">
        <v>2.125</v>
      </c>
      <c r="K179">
        <v>1</v>
      </c>
      <c r="L179" t="s">
        <v>10</v>
      </c>
      <c r="M179" t="s">
        <v>8</v>
      </c>
      <c r="N179">
        <v>0.605</v>
      </c>
    </row>
    <row r="180" spans="1:14">
      <c r="A180" t="s">
        <v>197</v>
      </c>
      <c r="B180" t="s">
        <v>35</v>
      </c>
      <c r="C180">
        <v>2</v>
      </c>
      <c r="D180" t="s">
        <v>10</v>
      </c>
      <c r="E180">
        <v>837</v>
      </c>
      <c r="F180">
        <v>863</v>
      </c>
      <c r="G180">
        <v>3.88</v>
      </c>
      <c r="H180">
        <v>0.97</v>
      </c>
      <c r="K180">
        <v>1</v>
      </c>
      <c r="L180" t="s">
        <v>10</v>
      </c>
      <c r="M180" t="s">
        <v>8</v>
      </c>
      <c r="N180">
        <v>0.7925</v>
      </c>
    </row>
    <row r="181" spans="1:14">
      <c r="A181" t="s">
        <v>198</v>
      </c>
      <c r="B181" t="s">
        <v>18</v>
      </c>
      <c r="C181">
        <v>2</v>
      </c>
      <c r="D181" t="s">
        <v>10</v>
      </c>
      <c r="E181">
        <v>2181</v>
      </c>
      <c r="F181">
        <v>897</v>
      </c>
      <c r="G181">
        <v>9.73</v>
      </c>
      <c r="H181">
        <v>2.4325</v>
      </c>
      <c r="K181">
        <v>1</v>
      </c>
      <c r="L181" t="s">
        <v>10</v>
      </c>
      <c r="M181" t="s">
        <v>8</v>
      </c>
      <c r="N181">
        <v>0.3225</v>
      </c>
    </row>
    <row r="182" spans="1:14">
      <c r="A182" t="s">
        <v>199</v>
      </c>
      <c r="B182" t="s">
        <v>22</v>
      </c>
      <c r="C182">
        <v>2</v>
      </c>
      <c r="D182" t="s">
        <v>10</v>
      </c>
      <c r="E182">
        <v>693</v>
      </c>
      <c r="F182">
        <v>841</v>
      </c>
      <c r="G182">
        <v>3.3</v>
      </c>
      <c r="H182">
        <v>0.825</v>
      </c>
      <c r="K182">
        <v>1</v>
      </c>
      <c r="L182" t="s">
        <v>10</v>
      </c>
      <c r="M182" t="s">
        <v>8</v>
      </c>
      <c r="N182">
        <v>0.1075</v>
      </c>
    </row>
    <row r="183" spans="1:14">
      <c r="A183" t="s">
        <v>200</v>
      </c>
      <c r="B183" t="s">
        <v>8</v>
      </c>
      <c r="C183">
        <v>2</v>
      </c>
      <c r="D183" t="s">
        <v>10</v>
      </c>
      <c r="E183">
        <v>967</v>
      </c>
      <c r="F183">
        <v>865</v>
      </c>
      <c r="G183">
        <v>4.47</v>
      </c>
      <c r="H183">
        <v>1.1175</v>
      </c>
      <c r="K183">
        <v>1</v>
      </c>
      <c r="L183" t="s">
        <v>10</v>
      </c>
      <c r="M183" t="s">
        <v>8</v>
      </c>
      <c r="N183">
        <v>2.685</v>
      </c>
    </row>
    <row r="184" spans="1:14">
      <c r="A184" t="s">
        <v>201</v>
      </c>
      <c r="B184" t="s">
        <v>41</v>
      </c>
      <c r="C184">
        <v>2</v>
      </c>
      <c r="D184" t="s">
        <v>10</v>
      </c>
      <c r="E184">
        <v>339</v>
      </c>
      <c r="F184">
        <v>841</v>
      </c>
      <c r="G184">
        <v>1.61</v>
      </c>
      <c r="H184">
        <v>0.4025</v>
      </c>
      <c r="K184">
        <v>2</v>
      </c>
      <c r="L184" t="s">
        <v>10</v>
      </c>
      <c r="M184" t="s">
        <v>8</v>
      </c>
      <c r="N184">
        <v>0.555</v>
      </c>
    </row>
    <row r="185" spans="1:14">
      <c r="A185" t="s">
        <v>202</v>
      </c>
      <c r="B185" t="s">
        <v>16</v>
      </c>
      <c r="C185">
        <v>2</v>
      </c>
      <c r="D185" t="s">
        <v>10</v>
      </c>
      <c r="E185">
        <v>1313</v>
      </c>
      <c r="F185">
        <v>859</v>
      </c>
      <c r="G185">
        <v>6.11</v>
      </c>
      <c r="H185">
        <v>1.5275</v>
      </c>
      <c r="K185">
        <v>2</v>
      </c>
      <c r="L185" t="s">
        <v>10</v>
      </c>
      <c r="M185" t="s">
        <v>8</v>
      </c>
      <c r="N185">
        <v>1.1175</v>
      </c>
    </row>
    <row r="186" spans="1:14">
      <c r="A186" t="s">
        <v>202</v>
      </c>
      <c r="B186" t="s">
        <v>16</v>
      </c>
      <c r="C186">
        <v>2</v>
      </c>
      <c r="D186" t="s">
        <v>10</v>
      </c>
      <c r="E186">
        <v>1313</v>
      </c>
      <c r="F186">
        <v>859</v>
      </c>
      <c r="G186">
        <v>6.11</v>
      </c>
      <c r="H186">
        <v>1.5275</v>
      </c>
      <c r="K186">
        <v>2</v>
      </c>
      <c r="L186" t="s">
        <v>10</v>
      </c>
      <c r="M186" t="s">
        <v>8</v>
      </c>
      <c r="N186">
        <v>0.355</v>
      </c>
    </row>
    <row r="187" spans="1:14">
      <c r="A187" t="s">
        <v>203</v>
      </c>
      <c r="B187" t="s">
        <v>20</v>
      </c>
      <c r="C187">
        <v>2</v>
      </c>
      <c r="D187" t="s">
        <v>10</v>
      </c>
      <c r="E187">
        <v>1704</v>
      </c>
      <c r="F187">
        <v>892</v>
      </c>
      <c r="G187">
        <v>7.64</v>
      </c>
      <c r="H187">
        <v>1.91</v>
      </c>
      <c r="K187">
        <v>2</v>
      </c>
      <c r="L187" t="s">
        <v>10</v>
      </c>
      <c r="M187" t="s">
        <v>8</v>
      </c>
      <c r="N187">
        <v>0.1175</v>
      </c>
    </row>
    <row r="188" spans="1:14">
      <c r="A188" t="s">
        <v>204</v>
      </c>
      <c r="B188" t="s">
        <v>35</v>
      </c>
      <c r="C188">
        <v>2</v>
      </c>
      <c r="D188" t="s">
        <v>10</v>
      </c>
      <c r="E188">
        <v>1108</v>
      </c>
      <c r="F188">
        <v>841</v>
      </c>
      <c r="G188">
        <v>5.27</v>
      </c>
      <c r="H188">
        <v>1.3175</v>
      </c>
      <c r="K188">
        <v>2</v>
      </c>
      <c r="L188" t="s">
        <v>10</v>
      </c>
      <c r="M188" t="s">
        <v>8</v>
      </c>
      <c r="N188">
        <v>3.535</v>
      </c>
    </row>
    <row r="189" spans="1:14">
      <c r="A189" t="s">
        <v>205</v>
      </c>
      <c r="B189" t="s">
        <v>18</v>
      </c>
      <c r="C189">
        <v>2</v>
      </c>
      <c r="D189" t="s">
        <v>10</v>
      </c>
      <c r="E189">
        <v>1058</v>
      </c>
      <c r="F189">
        <v>846</v>
      </c>
      <c r="G189">
        <v>5</v>
      </c>
      <c r="H189">
        <v>1.25</v>
      </c>
      <c r="K189">
        <v>3</v>
      </c>
      <c r="L189" t="s">
        <v>10</v>
      </c>
      <c r="M189" t="s">
        <v>8</v>
      </c>
      <c r="N189">
        <v>0.545</v>
      </c>
    </row>
    <row r="190" spans="1:14">
      <c r="A190" t="s">
        <v>206</v>
      </c>
      <c r="B190" t="s">
        <v>22</v>
      </c>
      <c r="C190">
        <v>2</v>
      </c>
      <c r="D190" t="s">
        <v>10</v>
      </c>
      <c r="E190">
        <v>3592</v>
      </c>
      <c r="F190">
        <v>888</v>
      </c>
      <c r="G190">
        <v>16.18</v>
      </c>
      <c r="H190">
        <v>4.045</v>
      </c>
      <c r="K190">
        <v>3</v>
      </c>
      <c r="L190" t="s">
        <v>10</v>
      </c>
      <c r="M190" t="s">
        <v>8</v>
      </c>
      <c r="N190">
        <v>1.0125</v>
      </c>
    </row>
    <row r="191" spans="1:14">
      <c r="A191" t="s">
        <v>207</v>
      </c>
      <c r="B191" t="s">
        <v>22</v>
      </c>
      <c r="C191">
        <v>2</v>
      </c>
      <c r="D191" t="s">
        <v>10</v>
      </c>
      <c r="E191">
        <v>1054</v>
      </c>
      <c r="F191">
        <v>870</v>
      </c>
      <c r="G191">
        <v>4.85</v>
      </c>
      <c r="H191">
        <v>1.2125</v>
      </c>
      <c r="K191">
        <v>3</v>
      </c>
      <c r="L191" t="s">
        <v>10</v>
      </c>
      <c r="M191" t="s">
        <v>8</v>
      </c>
      <c r="N191">
        <v>0.4975</v>
      </c>
    </row>
    <row r="192" spans="1:14">
      <c r="A192" t="s">
        <v>208</v>
      </c>
      <c r="B192" t="s">
        <v>8</v>
      </c>
      <c r="C192">
        <v>2</v>
      </c>
      <c r="D192" t="s">
        <v>10</v>
      </c>
      <c r="E192">
        <v>308</v>
      </c>
      <c r="F192">
        <v>869</v>
      </c>
      <c r="G192">
        <v>1.42</v>
      </c>
      <c r="H192">
        <v>0.355</v>
      </c>
      <c r="K192">
        <v>3</v>
      </c>
      <c r="L192" t="s">
        <v>10</v>
      </c>
      <c r="M192" t="s">
        <v>8</v>
      </c>
      <c r="N192">
        <v>0.145</v>
      </c>
    </row>
    <row r="193" spans="1:14">
      <c r="A193" t="s">
        <v>209</v>
      </c>
      <c r="B193" t="s">
        <v>41</v>
      </c>
      <c r="C193">
        <v>2</v>
      </c>
      <c r="D193" t="s">
        <v>10</v>
      </c>
      <c r="E193">
        <v>574</v>
      </c>
      <c r="F193">
        <v>841</v>
      </c>
      <c r="G193">
        <v>2.73</v>
      </c>
      <c r="H193">
        <v>0.6825</v>
      </c>
      <c r="K193">
        <v>3</v>
      </c>
      <c r="L193" t="s">
        <v>10</v>
      </c>
      <c r="M193" t="s">
        <v>8</v>
      </c>
      <c r="N193">
        <v>5.05</v>
      </c>
    </row>
    <row r="194" spans="1:14">
      <c r="A194" t="s">
        <v>210</v>
      </c>
      <c r="B194" t="s">
        <v>13</v>
      </c>
      <c r="C194">
        <v>2</v>
      </c>
      <c r="D194" t="s">
        <v>10</v>
      </c>
      <c r="E194">
        <v>1236</v>
      </c>
      <c r="F194">
        <v>841</v>
      </c>
      <c r="G194">
        <v>5.88</v>
      </c>
      <c r="H194">
        <v>1.47</v>
      </c>
      <c r="K194">
        <v>0</v>
      </c>
      <c r="L194" t="s">
        <v>10</v>
      </c>
      <c r="M194" t="s">
        <v>22</v>
      </c>
      <c r="N194">
        <v>0.475</v>
      </c>
    </row>
    <row r="195" spans="1:14">
      <c r="A195" t="s">
        <v>211</v>
      </c>
      <c r="B195" t="s">
        <v>16</v>
      </c>
      <c r="C195">
        <v>2</v>
      </c>
      <c r="D195" t="s">
        <v>10</v>
      </c>
      <c r="E195">
        <v>1167</v>
      </c>
      <c r="F195">
        <v>869</v>
      </c>
      <c r="G195">
        <v>5.37</v>
      </c>
      <c r="H195">
        <v>1.3425</v>
      </c>
      <c r="K195">
        <v>0</v>
      </c>
      <c r="L195" t="s">
        <v>10</v>
      </c>
      <c r="M195" t="s">
        <v>22</v>
      </c>
      <c r="N195">
        <v>2.6525</v>
      </c>
    </row>
    <row r="196" spans="1:14">
      <c r="A196" t="s">
        <v>212</v>
      </c>
      <c r="B196" t="s">
        <v>20</v>
      </c>
      <c r="C196">
        <v>2</v>
      </c>
      <c r="D196" t="s">
        <v>10</v>
      </c>
      <c r="E196">
        <v>526</v>
      </c>
      <c r="F196">
        <v>870</v>
      </c>
      <c r="G196">
        <v>2.42</v>
      </c>
      <c r="H196">
        <v>0.605</v>
      </c>
      <c r="K196">
        <v>0</v>
      </c>
      <c r="L196" t="s">
        <v>10</v>
      </c>
      <c r="M196" t="s">
        <v>22</v>
      </c>
      <c r="N196">
        <v>0.7875</v>
      </c>
    </row>
    <row r="197" spans="1:14">
      <c r="A197" t="s">
        <v>213</v>
      </c>
      <c r="B197" t="s">
        <v>35</v>
      </c>
      <c r="C197">
        <v>2</v>
      </c>
      <c r="D197" t="s">
        <v>10</v>
      </c>
      <c r="E197">
        <v>713</v>
      </c>
      <c r="F197">
        <v>862</v>
      </c>
      <c r="G197">
        <v>3.31</v>
      </c>
      <c r="H197">
        <v>0.8275</v>
      </c>
      <c r="K197">
        <v>0</v>
      </c>
      <c r="L197" t="s">
        <v>10</v>
      </c>
      <c r="M197" t="s">
        <v>22</v>
      </c>
      <c r="N197">
        <v>0.3875</v>
      </c>
    </row>
    <row r="198" spans="1:14">
      <c r="A198" t="s">
        <v>214</v>
      </c>
      <c r="B198" t="s">
        <v>18</v>
      </c>
      <c r="C198">
        <v>2</v>
      </c>
      <c r="D198" t="s">
        <v>10</v>
      </c>
      <c r="E198">
        <v>2138</v>
      </c>
      <c r="F198">
        <v>859</v>
      </c>
      <c r="G198">
        <v>9.96</v>
      </c>
      <c r="H198">
        <v>2.49</v>
      </c>
      <c r="K198">
        <v>0</v>
      </c>
      <c r="L198" t="s">
        <v>10</v>
      </c>
      <c r="M198" t="s">
        <v>22</v>
      </c>
      <c r="N198">
        <v>0.375</v>
      </c>
    </row>
    <row r="199" spans="1:14">
      <c r="A199" t="s">
        <v>215</v>
      </c>
      <c r="B199" t="s">
        <v>16</v>
      </c>
      <c r="C199">
        <v>2</v>
      </c>
      <c r="D199" t="s">
        <v>10</v>
      </c>
      <c r="E199">
        <v>1305</v>
      </c>
      <c r="F199">
        <v>841</v>
      </c>
      <c r="G199">
        <v>6.21</v>
      </c>
      <c r="H199">
        <v>1.5525</v>
      </c>
      <c r="K199">
        <v>1</v>
      </c>
      <c r="L199" t="s">
        <v>10</v>
      </c>
      <c r="M199" t="s">
        <v>22</v>
      </c>
      <c r="N199">
        <v>0.645</v>
      </c>
    </row>
    <row r="200" spans="1:14">
      <c r="A200" t="s">
        <v>216</v>
      </c>
      <c r="B200" t="s">
        <v>20</v>
      </c>
      <c r="C200">
        <v>2</v>
      </c>
      <c r="D200" t="s">
        <v>10</v>
      </c>
      <c r="E200">
        <v>3807</v>
      </c>
      <c r="F200">
        <v>841</v>
      </c>
      <c r="G200">
        <v>18.11</v>
      </c>
      <c r="H200">
        <v>4.5275</v>
      </c>
      <c r="K200">
        <v>1</v>
      </c>
      <c r="L200" t="s">
        <v>10</v>
      </c>
      <c r="M200" t="s">
        <v>22</v>
      </c>
      <c r="N200">
        <v>3.43</v>
      </c>
    </row>
    <row r="201" spans="1:14">
      <c r="A201" t="s">
        <v>217</v>
      </c>
      <c r="B201" t="s">
        <v>35</v>
      </c>
      <c r="C201">
        <v>2</v>
      </c>
      <c r="D201" t="s">
        <v>10</v>
      </c>
      <c r="E201">
        <v>1434</v>
      </c>
      <c r="F201">
        <v>893</v>
      </c>
      <c r="G201">
        <v>6.42</v>
      </c>
      <c r="H201">
        <v>1.605</v>
      </c>
      <c r="K201">
        <v>1</v>
      </c>
      <c r="L201" t="s">
        <v>10</v>
      </c>
      <c r="M201" t="s">
        <v>22</v>
      </c>
      <c r="N201">
        <v>1.2725</v>
      </c>
    </row>
    <row r="202" spans="1:14">
      <c r="A202" t="s">
        <v>218</v>
      </c>
      <c r="B202" t="s">
        <v>18</v>
      </c>
      <c r="C202">
        <v>2</v>
      </c>
      <c r="D202" t="s">
        <v>10</v>
      </c>
      <c r="E202">
        <v>1224</v>
      </c>
      <c r="F202">
        <v>841</v>
      </c>
      <c r="G202">
        <v>5.82</v>
      </c>
      <c r="H202">
        <v>1.455</v>
      </c>
      <c r="K202">
        <v>1</v>
      </c>
      <c r="L202" t="s">
        <v>10</v>
      </c>
      <c r="M202" t="s">
        <v>22</v>
      </c>
      <c r="N202">
        <v>0.6475</v>
      </c>
    </row>
    <row r="203" spans="1:14">
      <c r="A203" t="s">
        <v>219</v>
      </c>
      <c r="B203" t="s">
        <v>22</v>
      </c>
      <c r="C203">
        <v>2</v>
      </c>
      <c r="D203" t="s">
        <v>10</v>
      </c>
      <c r="E203">
        <v>699</v>
      </c>
      <c r="F203">
        <v>841</v>
      </c>
      <c r="G203">
        <v>3.32</v>
      </c>
      <c r="H203">
        <v>0.83</v>
      </c>
      <c r="K203">
        <v>1</v>
      </c>
      <c r="L203" t="s">
        <v>10</v>
      </c>
      <c r="M203" t="s">
        <v>22</v>
      </c>
      <c r="N203">
        <v>0.5375</v>
      </c>
    </row>
    <row r="204" spans="1:14">
      <c r="A204" t="s">
        <v>220</v>
      </c>
      <c r="B204" t="s">
        <v>8</v>
      </c>
      <c r="C204">
        <v>2</v>
      </c>
      <c r="D204" t="s">
        <v>10</v>
      </c>
      <c r="E204">
        <v>99</v>
      </c>
      <c r="F204">
        <v>841</v>
      </c>
      <c r="G204">
        <v>0.47</v>
      </c>
      <c r="H204">
        <v>0.1175</v>
      </c>
      <c r="K204">
        <v>2</v>
      </c>
      <c r="L204" t="s">
        <v>10</v>
      </c>
      <c r="M204" t="s">
        <v>22</v>
      </c>
      <c r="N204">
        <v>0.825</v>
      </c>
    </row>
    <row r="205" spans="1:14">
      <c r="A205" t="s">
        <v>221</v>
      </c>
      <c r="B205" t="s">
        <v>13</v>
      </c>
      <c r="C205">
        <v>2</v>
      </c>
      <c r="D205" t="s">
        <v>10</v>
      </c>
      <c r="E205">
        <v>277</v>
      </c>
      <c r="F205">
        <v>841</v>
      </c>
      <c r="G205">
        <v>1.32</v>
      </c>
      <c r="H205">
        <v>0.33</v>
      </c>
      <c r="K205">
        <v>2</v>
      </c>
      <c r="L205" t="s">
        <v>10</v>
      </c>
      <c r="M205" t="s">
        <v>22</v>
      </c>
      <c r="N205">
        <v>4.045</v>
      </c>
    </row>
    <row r="206" spans="1:14">
      <c r="A206" t="s">
        <v>222</v>
      </c>
      <c r="B206" t="s">
        <v>18</v>
      </c>
      <c r="C206">
        <v>2</v>
      </c>
      <c r="D206" t="s">
        <v>10</v>
      </c>
      <c r="E206">
        <v>850</v>
      </c>
      <c r="F206">
        <v>841</v>
      </c>
      <c r="G206">
        <v>4.04</v>
      </c>
      <c r="H206">
        <v>1.01</v>
      </c>
      <c r="K206">
        <v>2</v>
      </c>
      <c r="L206" t="s">
        <v>10</v>
      </c>
      <c r="M206" t="s">
        <v>22</v>
      </c>
      <c r="N206">
        <v>1.2125</v>
      </c>
    </row>
    <row r="207" spans="1:14">
      <c r="A207" t="s">
        <v>223</v>
      </c>
      <c r="B207" t="s">
        <v>8</v>
      </c>
      <c r="C207">
        <v>2</v>
      </c>
      <c r="D207" t="s">
        <v>10</v>
      </c>
      <c r="E207">
        <v>3047</v>
      </c>
      <c r="F207">
        <v>862</v>
      </c>
      <c r="G207">
        <v>14.14</v>
      </c>
      <c r="H207">
        <v>3.535</v>
      </c>
      <c r="K207">
        <v>2</v>
      </c>
      <c r="L207" t="s">
        <v>10</v>
      </c>
      <c r="M207" t="s">
        <v>22</v>
      </c>
      <c r="N207">
        <v>0.83</v>
      </c>
    </row>
    <row r="208" spans="1:14">
      <c r="A208" t="s">
        <v>224</v>
      </c>
      <c r="B208" t="s">
        <v>41</v>
      </c>
      <c r="C208">
        <v>2</v>
      </c>
      <c r="D208" t="s">
        <v>10</v>
      </c>
      <c r="E208">
        <v>741</v>
      </c>
      <c r="F208">
        <v>860</v>
      </c>
      <c r="G208">
        <v>3.45</v>
      </c>
      <c r="H208">
        <v>0.8625</v>
      </c>
      <c r="K208">
        <v>2</v>
      </c>
      <c r="L208" t="s">
        <v>10</v>
      </c>
      <c r="M208" t="s">
        <v>22</v>
      </c>
      <c r="N208">
        <v>0.785</v>
      </c>
    </row>
    <row r="209" spans="1:14">
      <c r="A209" t="s">
        <v>225</v>
      </c>
      <c r="B209" t="s">
        <v>13</v>
      </c>
      <c r="C209">
        <v>2</v>
      </c>
      <c r="D209" t="s">
        <v>10</v>
      </c>
      <c r="E209">
        <v>923</v>
      </c>
      <c r="F209">
        <v>864</v>
      </c>
      <c r="G209">
        <v>4.27</v>
      </c>
      <c r="H209">
        <v>1.0675</v>
      </c>
      <c r="K209">
        <v>3</v>
      </c>
      <c r="L209" t="s">
        <v>10</v>
      </c>
      <c r="M209" t="s">
        <v>22</v>
      </c>
      <c r="N209">
        <v>1.0875</v>
      </c>
    </row>
    <row r="210" spans="1:14">
      <c r="A210" t="s">
        <v>226</v>
      </c>
      <c r="B210" t="s">
        <v>16</v>
      </c>
      <c r="C210">
        <v>2</v>
      </c>
      <c r="D210" t="s">
        <v>10</v>
      </c>
      <c r="E210">
        <v>2577</v>
      </c>
      <c r="F210">
        <v>870</v>
      </c>
      <c r="G210">
        <v>11.85</v>
      </c>
      <c r="H210">
        <v>2.9625</v>
      </c>
      <c r="K210">
        <v>3</v>
      </c>
      <c r="L210" t="s">
        <v>10</v>
      </c>
      <c r="M210" t="s">
        <v>22</v>
      </c>
      <c r="N210">
        <v>4.41</v>
      </c>
    </row>
    <row r="211" spans="1:14">
      <c r="A211" t="s">
        <v>227</v>
      </c>
      <c r="B211" t="s">
        <v>20</v>
      </c>
      <c r="C211">
        <v>2</v>
      </c>
      <c r="D211" t="s">
        <v>10</v>
      </c>
      <c r="E211">
        <v>1255</v>
      </c>
      <c r="F211">
        <v>841</v>
      </c>
      <c r="G211">
        <v>5.97</v>
      </c>
      <c r="H211">
        <v>1.4925</v>
      </c>
      <c r="K211">
        <v>3</v>
      </c>
      <c r="L211" t="s">
        <v>10</v>
      </c>
      <c r="M211" t="s">
        <v>22</v>
      </c>
      <c r="N211">
        <v>1.4775</v>
      </c>
    </row>
    <row r="212" spans="1:14">
      <c r="A212" t="s">
        <v>228</v>
      </c>
      <c r="B212" t="s">
        <v>35</v>
      </c>
      <c r="C212">
        <v>2</v>
      </c>
      <c r="D212" t="s">
        <v>10</v>
      </c>
      <c r="E212">
        <v>1219</v>
      </c>
      <c r="F212">
        <v>892</v>
      </c>
      <c r="G212">
        <v>5.47</v>
      </c>
      <c r="H212">
        <v>1.3675</v>
      </c>
      <c r="K212">
        <v>3</v>
      </c>
      <c r="L212" t="s">
        <v>10</v>
      </c>
      <c r="M212" t="s">
        <v>22</v>
      </c>
      <c r="N212">
        <v>0.7675</v>
      </c>
    </row>
    <row r="213" spans="1:14">
      <c r="A213" t="s">
        <v>229</v>
      </c>
      <c r="B213" t="s">
        <v>22</v>
      </c>
      <c r="C213">
        <v>2</v>
      </c>
      <c r="D213" t="s">
        <v>10</v>
      </c>
      <c r="E213">
        <v>682</v>
      </c>
      <c r="F213">
        <v>870</v>
      </c>
      <c r="G213">
        <v>3.14</v>
      </c>
      <c r="H213">
        <v>0.785</v>
      </c>
      <c r="K213">
        <v>3</v>
      </c>
      <c r="L213" t="s">
        <v>10</v>
      </c>
      <c r="M213" t="s">
        <v>22</v>
      </c>
      <c r="N213">
        <v>1.4575</v>
      </c>
    </row>
    <row r="214" spans="1:14">
      <c r="A214" t="s">
        <v>230</v>
      </c>
      <c r="B214" t="s">
        <v>41</v>
      </c>
      <c r="C214">
        <v>2</v>
      </c>
      <c r="D214" t="s">
        <v>9</v>
      </c>
      <c r="E214">
        <v>395</v>
      </c>
      <c r="F214">
        <v>864</v>
      </c>
      <c r="G214">
        <v>1.83</v>
      </c>
      <c r="H214">
        <v>0.4575</v>
      </c>
      <c r="K214">
        <v>0</v>
      </c>
      <c r="L214" t="s">
        <v>10</v>
      </c>
      <c r="M214" t="s">
        <v>13</v>
      </c>
      <c r="N214">
        <v>1.0225</v>
      </c>
    </row>
    <row r="215" spans="1:14">
      <c r="A215" t="s">
        <v>231</v>
      </c>
      <c r="B215" t="s">
        <v>20</v>
      </c>
      <c r="C215">
        <v>2</v>
      </c>
      <c r="D215" t="s">
        <v>9</v>
      </c>
      <c r="E215">
        <v>4983</v>
      </c>
      <c r="F215">
        <v>841</v>
      </c>
      <c r="G215">
        <v>23.7</v>
      </c>
      <c r="H215">
        <v>5.925</v>
      </c>
      <c r="K215">
        <v>0</v>
      </c>
      <c r="L215" t="s">
        <v>10</v>
      </c>
      <c r="M215" t="s">
        <v>13</v>
      </c>
      <c r="N215">
        <v>0.68</v>
      </c>
    </row>
    <row r="216" spans="1:14">
      <c r="A216" t="s">
        <v>232</v>
      </c>
      <c r="B216" t="s">
        <v>35</v>
      </c>
      <c r="C216">
        <v>2</v>
      </c>
      <c r="D216" t="s">
        <v>9</v>
      </c>
      <c r="E216">
        <v>2068</v>
      </c>
      <c r="F216">
        <v>841</v>
      </c>
      <c r="G216">
        <v>9.84</v>
      </c>
      <c r="H216">
        <v>2.46</v>
      </c>
      <c r="K216">
        <v>0</v>
      </c>
      <c r="L216" t="s">
        <v>10</v>
      </c>
      <c r="M216" t="s">
        <v>13</v>
      </c>
      <c r="N216">
        <v>0.115</v>
      </c>
    </row>
    <row r="217" spans="1:14">
      <c r="A217" t="s">
        <v>233</v>
      </c>
      <c r="B217" t="s">
        <v>8</v>
      </c>
      <c r="C217">
        <v>2</v>
      </c>
      <c r="D217" t="s">
        <v>9</v>
      </c>
      <c r="E217">
        <v>2074</v>
      </c>
      <c r="F217">
        <v>867</v>
      </c>
      <c r="G217">
        <v>9.57</v>
      </c>
      <c r="H217">
        <v>2.3925</v>
      </c>
      <c r="K217">
        <v>0</v>
      </c>
      <c r="L217" t="s">
        <v>10</v>
      </c>
      <c r="M217" t="s">
        <v>13</v>
      </c>
      <c r="N217">
        <v>0.4525</v>
      </c>
    </row>
    <row r="218" spans="1:14">
      <c r="A218" t="s">
        <v>234</v>
      </c>
      <c r="B218" t="s">
        <v>8</v>
      </c>
      <c r="C218">
        <v>2</v>
      </c>
      <c r="D218" t="s">
        <v>9</v>
      </c>
      <c r="E218">
        <v>4604</v>
      </c>
      <c r="F218">
        <v>867</v>
      </c>
      <c r="G218">
        <v>21.24</v>
      </c>
      <c r="H218">
        <v>5.31</v>
      </c>
      <c r="K218">
        <v>1</v>
      </c>
      <c r="L218" t="s">
        <v>10</v>
      </c>
      <c r="M218" t="s">
        <v>13</v>
      </c>
      <c r="N218">
        <v>1.6425</v>
      </c>
    </row>
    <row r="219" spans="1:14">
      <c r="A219" t="s">
        <v>235</v>
      </c>
      <c r="B219" t="s">
        <v>41</v>
      </c>
      <c r="C219">
        <v>2</v>
      </c>
      <c r="D219" t="s">
        <v>9</v>
      </c>
      <c r="E219">
        <v>202</v>
      </c>
      <c r="F219">
        <v>841</v>
      </c>
      <c r="G219">
        <v>0.96</v>
      </c>
      <c r="H219">
        <v>0.24</v>
      </c>
      <c r="K219">
        <v>1</v>
      </c>
      <c r="L219" t="s">
        <v>10</v>
      </c>
      <c r="M219" t="s">
        <v>13</v>
      </c>
      <c r="N219">
        <v>1.0225</v>
      </c>
    </row>
    <row r="220" spans="1:14">
      <c r="A220" t="s">
        <v>236</v>
      </c>
      <c r="B220" t="s">
        <v>13</v>
      </c>
      <c r="C220">
        <v>2</v>
      </c>
      <c r="D220" t="s">
        <v>9</v>
      </c>
      <c r="E220">
        <v>1111</v>
      </c>
      <c r="F220">
        <v>841</v>
      </c>
      <c r="G220">
        <v>5.28</v>
      </c>
      <c r="H220">
        <v>1.32</v>
      </c>
      <c r="K220">
        <v>1</v>
      </c>
      <c r="L220" t="s">
        <v>10</v>
      </c>
      <c r="M220" t="s">
        <v>13</v>
      </c>
      <c r="N220">
        <v>0.3025</v>
      </c>
    </row>
    <row r="221" spans="1:14">
      <c r="A221" t="s">
        <v>237</v>
      </c>
      <c r="B221" t="s">
        <v>16</v>
      </c>
      <c r="C221">
        <v>2</v>
      </c>
      <c r="D221" t="s">
        <v>9</v>
      </c>
      <c r="E221">
        <v>783</v>
      </c>
      <c r="F221">
        <v>869</v>
      </c>
      <c r="G221">
        <v>3.6</v>
      </c>
      <c r="H221">
        <v>0.9</v>
      </c>
      <c r="K221">
        <v>1</v>
      </c>
      <c r="L221" t="s">
        <v>10</v>
      </c>
      <c r="M221" t="s">
        <v>13</v>
      </c>
      <c r="N221">
        <v>0.855</v>
      </c>
    </row>
    <row r="222" spans="1:14">
      <c r="A222" t="s">
        <v>238</v>
      </c>
      <c r="B222" t="s">
        <v>20</v>
      </c>
      <c r="C222">
        <v>2</v>
      </c>
      <c r="D222" t="s">
        <v>9</v>
      </c>
      <c r="E222">
        <v>3590</v>
      </c>
      <c r="F222">
        <v>855</v>
      </c>
      <c r="G222">
        <v>16.8</v>
      </c>
      <c r="H222">
        <v>4.2</v>
      </c>
      <c r="K222">
        <v>2</v>
      </c>
      <c r="L222" t="s">
        <v>10</v>
      </c>
      <c r="M222" t="s">
        <v>13</v>
      </c>
      <c r="N222">
        <v>1.905</v>
      </c>
    </row>
    <row r="223" spans="1:14">
      <c r="A223" t="s">
        <v>239</v>
      </c>
      <c r="B223" t="s">
        <v>35</v>
      </c>
      <c r="C223">
        <v>2</v>
      </c>
      <c r="D223" t="s">
        <v>9</v>
      </c>
      <c r="E223">
        <v>3581</v>
      </c>
      <c r="F223">
        <v>841</v>
      </c>
      <c r="G223">
        <v>17.03</v>
      </c>
      <c r="H223">
        <v>4.2575</v>
      </c>
      <c r="K223">
        <v>2</v>
      </c>
      <c r="L223" t="s">
        <v>10</v>
      </c>
      <c r="M223" t="s">
        <v>13</v>
      </c>
      <c r="N223">
        <v>1.47</v>
      </c>
    </row>
    <row r="224" spans="1:14">
      <c r="A224" t="s">
        <v>240</v>
      </c>
      <c r="B224" t="s">
        <v>18</v>
      </c>
      <c r="C224">
        <v>2</v>
      </c>
      <c r="D224" t="s">
        <v>9</v>
      </c>
      <c r="E224">
        <v>2164</v>
      </c>
      <c r="F224">
        <v>865</v>
      </c>
      <c r="G224">
        <v>10.01</v>
      </c>
      <c r="H224">
        <v>2.5025</v>
      </c>
      <c r="K224">
        <v>2</v>
      </c>
      <c r="L224" t="s">
        <v>10</v>
      </c>
      <c r="M224" t="s">
        <v>13</v>
      </c>
      <c r="N224">
        <v>0.33</v>
      </c>
    </row>
    <row r="225" spans="1:14">
      <c r="A225" t="s">
        <v>241</v>
      </c>
      <c r="B225" t="s">
        <v>22</v>
      </c>
      <c r="C225">
        <v>2</v>
      </c>
      <c r="D225" t="s">
        <v>9</v>
      </c>
      <c r="E225">
        <v>670</v>
      </c>
      <c r="F225">
        <v>870</v>
      </c>
      <c r="G225">
        <v>3.08</v>
      </c>
      <c r="H225">
        <v>0.77</v>
      </c>
      <c r="K225">
        <v>2</v>
      </c>
      <c r="L225" t="s">
        <v>10</v>
      </c>
      <c r="M225" t="s">
        <v>13</v>
      </c>
      <c r="N225">
        <v>1.0675</v>
      </c>
    </row>
    <row r="226" spans="1:14">
      <c r="A226" t="s">
        <v>242</v>
      </c>
      <c r="B226" t="s">
        <v>8</v>
      </c>
      <c r="C226">
        <v>2</v>
      </c>
      <c r="D226" t="s">
        <v>9</v>
      </c>
      <c r="E226">
        <v>1059</v>
      </c>
      <c r="F226">
        <v>868</v>
      </c>
      <c r="G226">
        <v>4.88</v>
      </c>
      <c r="H226">
        <v>1.22</v>
      </c>
      <c r="K226">
        <v>3</v>
      </c>
      <c r="L226" t="s">
        <v>10</v>
      </c>
      <c r="M226" t="s">
        <v>13</v>
      </c>
      <c r="N226">
        <v>2.6425</v>
      </c>
    </row>
    <row r="227" spans="1:14">
      <c r="A227" t="s">
        <v>243</v>
      </c>
      <c r="B227" t="s">
        <v>41</v>
      </c>
      <c r="C227">
        <v>2</v>
      </c>
      <c r="D227" t="s">
        <v>9</v>
      </c>
      <c r="E227">
        <v>471</v>
      </c>
      <c r="F227">
        <v>841</v>
      </c>
      <c r="G227">
        <v>2.24</v>
      </c>
      <c r="H227">
        <v>0.56</v>
      </c>
      <c r="K227">
        <v>3</v>
      </c>
      <c r="L227" t="s">
        <v>10</v>
      </c>
      <c r="M227" t="s">
        <v>13</v>
      </c>
      <c r="N227">
        <v>1.93</v>
      </c>
    </row>
    <row r="228" spans="1:14">
      <c r="A228" t="s">
        <v>244</v>
      </c>
      <c r="B228" t="s">
        <v>13</v>
      </c>
      <c r="C228">
        <v>2</v>
      </c>
      <c r="D228" t="s">
        <v>9</v>
      </c>
      <c r="E228">
        <v>3014</v>
      </c>
      <c r="F228">
        <v>859</v>
      </c>
      <c r="G228">
        <v>14.03</v>
      </c>
      <c r="H228">
        <v>3.5075</v>
      </c>
      <c r="K228">
        <v>3</v>
      </c>
      <c r="L228" t="s">
        <v>10</v>
      </c>
      <c r="M228" t="s">
        <v>13</v>
      </c>
      <c r="N228">
        <v>0.4225</v>
      </c>
    </row>
    <row r="229" spans="1:14">
      <c r="A229" t="s">
        <v>245</v>
      </c>
      <c r="B229" t="s">
        <v>16</v>
      </c>
      <c r="C229">
        <v>2</v>
      </c>
      <c r="D229" t="s">
        <v>9</v>
      </c>
      <c r="E229">
        <v>2657</v>
      </c>
      <c r="F229">
        <v>869</v>
      </c>
      <c r="G229">
        <v>12.23</v>
      </c>
      <c r="H229">
        <v>3.0575</v>
      </c>
      <c r="K229">
        <v>3</v>
      </c>
      <c r="L229" t="s">
        <v>10</v>
      </c>
      <c r="M229" t="s">
        <v>13</v>
      </c>
      <c r="N229">
        <v>1.365</v>
      </c>
    </row>
    <row r="230" spans="1:14">
      <c r="A230" t="s">
        <v>246</v>
      </c>
      <c r="B230" t="s">
        <v>20</v>
      </c>
      <c r="C230">
        <v>2</v>
      </c>
      <c r="D230" t="s">
        <v>9</v>
      </c>
      <c r="E230">
        <v>1792</v>
      </c>
      <c r="F230">
        <v>870</v>
      </c>
      <c r="G230">
        <v>8.24</v>
      </c>
      <c r="H230">
        <v>2.06</v>
      </c>
      <c r="K230">
        <v>0</v>
      </c>
      <c r="L230" t="s">
        <v>10</v>
      </c>
      <c r="M230" t="s">
        <v>16</v>
      </c>
      <c r="N230">
        <v>0.7325</v>
      </c>
    </row>
    <row r="231" spans="1:14">
      <c r="A231" t="s">
        <v>247</v>
      </c>
      <c r="B231" t="s">
        <v>35</v>
      </c>
      <c r="C231">
        <v>2</v>
      </c>
      <c r="D231" t="s">
        <v>9</v>
      </c>
      <c r="E231">
        <v>836</v>
      </c>
      <c r="F231">
        <v>865</v>
      </c>
      <c r="G231">
        <v>3.87</v>
      </c>
      <c r="H231">
        <v>0.9675</v>
      </c>
      <c r="K231">
        <v>0</v>
      </c>
      <c r="L231" t="s">
        <v>10</v>
      </c>
      <c r="M231" t="s">
        <v>16</v>
      </c>
      <c r="N231">
        <v>1.2625</v>
      </c>
    </row>
    <row r="232" spans="1:14">
      <c r="A232" t="s">
        <v>248</v>
      </c>
      <c r="B232" t="s">
        <v>18</v>
      </c>
      <c r="C232">
        <v>2</v>
      </c>
      <c r="D232" t="s">
        <v>9</v>
      </c>
      <c r="E232">
        <v>594</v>
      </c>
      <c r="F232">
        <v>866</v>
      </c>
      <c r="G232">
        <v>2.74</v>
      </c>
      <c r="H232">
        <v>0.685</v>
      </c>
      <c r="K232">
        <v>0</v>
      </c>
      <c r="L232" t="s">
        <v>10</v>
      </c>
      <c r="M232" t="s">
        <v>16</v>
      </c>
      <c r="N232">
        <v>1.055</v>
      </c>
    </row>
    <row r="233" spans="1:14">
      <c r="A233" t="s">
        <v>249</v>
      </c>
      <c r="B233" t="s">
        <v>22</v>
      </c>
      <c r="C233">
        <v>2</v>
      </c>
      <c r="D233" t="s">
        <v>9</v>
      </c>
      <c r="E233">
        <v>1375</v>
      </c>
      <c r="F233">
        <v>865</v>
      </c>
      <c r="G233">
        <v>6.36</v>
      </c>
      <c r="H233">
        <v>1.59</v>
      </c>
      <c r="K233">
        <v>0</v>
      </c>
      <c r="L233" t="s">
        <v>10</v>
      </c>
      <c r="M233" t="s">
        <v>16</v>
      </c>
      <c r="N233">
        <v>0.7625</v>
      </c>
    </row>
    <row r="234" spans="1:14">
      <c r="A234" t="s">
        <v>250</v>
      </c>
      <c r="B234" t="s">
        <v>8</v>
      </c>
      <c r="C234">
        <v>2</v>
      </c>
      <c r="D234" t="s">
        <v>9</v>
      </c>
      <c r="E234">
        <v>1227</v>
      </c>
      <c r="F234">
        <v>842</v>
      </c>
      <c r="G234">
        <v>5.83</v>
      </c>
      <c r="H234">
        <v>1.4575</v>
      </c>
      <c r="K234">
        <v>0</v>
      </c>
      <c r="L234" t="s">
        <v>10</v>
      </c>
      <c r="M234" t="s">
        <v>16</v>
      </c>
      <c r="N234">
        <v>1.1175</v>
      </c>
    </row>
    <row r="235" spans="1:14">
      <c r="A235" t="s">
        <v>251</v>
      </c>
      <c r="B235" t="s">
        <v>41</v>
      </c>
      <c r="C235">
        <v>2</v>
      </c>
      <c r="D235" t="s">
        <v>9</v>
      </c>
      <c r="E235">
        <v>454</v>
      </c>
      <c r="F235">
        <v>868</v>
      </c>
      <c r="G235">
        <v>2.09</v>
      </c>
      <c r="H235">
        <v>0.5225</v>
      </c>
      <c r="K235">
        <v>1</v>
      </c>
      <c r="L235" t="s">
        <v>10</v>
      </c>
      <c r="M235" t="s">
        <v>16</v>
      </c>
      <c r="N235">
        <v>0.99</v>
      </c>
    </row>
    <row r="236" spans="1:14">
      <c r="A236" t="s">
        <v>252</v>
      </c>
      <c r="B236" t="s">
        <v>13</v>
      </c>
      <c r="C236">
        <v>2</v>
      </c>
      <c r="D236" t="s">
        <v>9</v>
      </c>
      <c r="E236">
        <v>863</v>
      </c>
      <c r="F236">
        <v>841</v>
      </c>
      <c r="G236">
        <v>4.1</v>
      </c>
      <c r="H236">
        <v>1.025</v>
      </c>
      <c r="K236">
        <v>1</v>
      </c>
      <c r="L236" t="s">
        <v>10</v>
      </c>
      <c r="M236" t="s">
        <v>16</v>
      </c>
      <c r="N236">
        <v>1.62</v>
      </c>
    </row>
    <row r="237" spans="1:14">
      <c r="A237" t="s">
        <v>253</v>
      </c>
      <c r="B237" t="s">
        <v>16</v>
      </c>
      <c r="C237">
        <v>2</v>
      </c>
      <c r="D237" t="s">
        <v>9</v>
      </c>
      <c r="E237">
        <v>783</v>
      </c>
      <c r="F237">
        <v>866</v>
      </c>
      <c r="G237">
        <v>3.62</v>
      </c>
      <c r="H237">
        <v>0.905</v>
      </c>
      <c r="K237">
        <v>1</v>
      </c>
      <c r="L237" t="s">
        <v>10</v>
      </c>
      <c r="M237" t="s">
        <v>16</v>
      </c>
      <c r="N237">
        <v>1.4</v>
      </c>
    </row>
    <row r="238" spans="1:14">
      <c r="A238" t="s">
        <v>254</v>
      </c>
      <c r="B238" t="s">
        <v>20</v>
      </c>
      <c r="C238">
        <v>2</v>
      </c>
      <c r="D238" t="s">
        <v>9</v>
      </c>
      <c r="E238">
        <v>2385</v>
      </c>
      <c r="F238">
        <v>841</v>
      </c>
      <c r="G238">
        <v>11.34</v>
      </c>
      <c r="H238">
        <v>2.835</v>
      </c>
      <c r="K238">
        <v>1</v>
      </c>
      <c r="L238" t="s">
        <v>10</v>
      </c>
      <c r="M238" t="s">
        <v>16</v>
      </c>
      <c r="N238">
        <v>1.1675</v>
      </c>
    </row>
    <row r="239" spans="1:14">
      <c r="A239" t="s">
        <v>255</v>
      </c>
      <c r="B239" t="s">
        <v>35</v>
      </c>
      <c r="C239">
        <v>2</v>
      </c>
      <c r="D239" t="s">
        <v>9</v>
      </c>
      <c r="E239">
        <v>1801</v>
      </c>
      <c r="F239">
        <v>841</v>
      </c>
      <c r="G239">
        <v>8.57</v>
      </c>
      <c r="H239">
        <v>2.1425</v>
      </c>
      <c r="K239">
        <v>1</v>
      </c>
      <c r="L239" t="s">
        <v>10</v>
      </c>
      <c r="M239" t="s">
        <v>16</v>
      </c>
      <c r="N239">
        <v>1.975</v>
      </c>
    </row>
    <row r="240" spans="1:14">
      <c r="A240" t="s">
        <v>256</v>
      </c>
      <c r="B240" t="s">
        <v>18</v>
      </c>
      <c r="C240">
        <v>2</v>
      </c>
      <c r="D240" t="s">
        <v>9</v>
      </c>
      <c r="E240">
        <v>1716</v>
      </c>
      <c r="F240">
        <v>808</v>
      </c>
      <c r="G240">
        <v>8.5</v>
      </c>
      <c r="H240">
        <v>2.125</v>
      </c>
      <c r="K240">
        <v>2</v>
      </c>
      <c r="L240" t="s">
        <v>10</v>
      </c>
      <c r="M240" t="s">
        <v>16</v>
      </c>
      <c r="N240">
        <v>1.2175</v>
      </c>
    </row>
    <row r="241" spans="1:14">
      <c r="A241" t="s">
        <v>257</v>
      </c>
      <c r="B241" t="s">
        <v>22</v>
      </c>
      <c r="C241">
        <v>2</v>
      </c>
      <c r="D241" t="s">
        <v>9</v>
      </c>
      <c r="E241">
        <v>1001</v>
      </c>
      <c r="F241">
        <v>897</v>
      </c>
      <c r="G241">
        <v>4.46</v>
      </c>
      <c r="H241">
        <v>1.115</v>
      </c>
      <c r="K241">
        <v>2</v>
      </c>
      <c r="L241" t="s">
        <v>10</v>
      </c>
      <c r="M241" t="s">
        <v>16</v>
      </c>
      <c r="N241">
        <v>1.5275</v>
      </c>
    </row>
    <row r="242" spans="1:14">
      <c r="A242" t="s">
        <v>258</v>
      </c>
      <c r="B242" t="s">
        <v>8</v>
      </c>
      <c r="C242">
        <v>2</v>
      </c>
      <c r="D242" t="s">
        <v>9</v>
      </c>
      <c r="E242">
        <v>1291</v>
      </c>
      <c r="F242">
        <v>898</v>
      </c>
      <c r="G242">
        <v>5.75</v>
      </c>
      <c r="H242">
        <v>1.4375</v>
      </c>
      <c r="K242">
        <v>2</v>
      </c>
      <c r="L242" t="s">
        <v>10</v>
      </c>
      <c r="M242" t="s">
        <v>16</v>
      </c>
      <c r="N242">
        <v>1.5275</v>
      </c>
    </row>
    <row r="243" spans="1:14">
      <c r="A243" t="s">
        <v>259</v>
      </c>
      <c r="B243" t="s">
        <v>41</v>
      </c>
      <c r="C243">
        <v>2</v>
      </c>
      <c r="D243" t="s">
        <v>9</v>
      </c>
      <c r="E243">
        <v>402</v>
      </c>
      <c r="F243">
        <v>861</v>
      </c>
      <c r="G243">
        <v>1.87</v>
      </c>
      <c r="H243">
        <v>0.4675</v>
      </c>
      <c r="K243">
        <v>2</v>
      </c>
      <c r="L243" t="s">
        <v>10</v>
      </c>
      <c r="M243" t="s">
        <v>16</v>
      </c>
      <c r="N243">
        <v>1.3425</v>
      </c>
    </row>
    <row r="244" spans="1:14">
      <c r="A244" t="s">
        <v>260</v>
      </c>
      <c r="B244" t="s">
        <v>13</v>
      </c>
      <c r="C244">
        <v>2</v>
      </c>
      <c r="D244" t="s">
        <v>9</v>
      </c>
      <c r="E244">
        <v>4563</v>
      </c>
      <c r="F244">
        <v>858</v>
      </c>
      <c r="G244">
        <v>21.27</v>
      </c>
      <c r="H244">
        <v>5.3175</v>
      </c>
      <c r="K244">
        <v>2</v>
      </c>
      <c r="L244" t="s">
        <v>10</v>
      </c>
      <c r="M244" t="s">
        <v>16</v>
      </c>
      <c r="N244">
        <v>1.5525</v>
      </c>
    </row>
    <row r="245" spans="1:14">
      <c r="A245" t="s">
        <v>261</v>
      </c>
      <c r="B245" t="s">
        <v>16</v>
      </c>
      <c r="C245">
        <v>2</v>
      </c>
      <c r="D245" t="s">
        <v>9</v>
      </c>
      <c r="E245">
        <v>1225</v>
      </c>
      <c r="F245">
        <v>814</v>
      </c>
      <c r="G245">
        <v>6.02</v>
      </c>
      <c r="H245">
        <v>1.505</v>
      </c>
      <c r="K245">
        <v>2</v>
      </c>
      <c r="L245" t="s">
        <v>10</v>
      </c>
      <c r="M245" t="s">
        <v>16</v>
      </c>
      <c r="N245">
        <v>2.9625</v>
      </c>
    </row>
    <row r="246" spans="1:14">
      <c r="A246" t="s">
        <v>262</v>
      </c>
      <c r="B246" t="s">
        <v>20</v>
      </c>
      <c r="C246">
        <v>2</v>
      </c>
      <c r="D246" t="s">
        <v>9</v>
      </c>
      <c r="E246">
        <v>5901</v>
      </c>
      <c r="F246">
        <v>864</v>
      </c>
      <c r="G246">
        <v>27.32</v>
      </c>
      <c r="H246">
        <v>6.83</v>
      </c>
      <c r="K246">
        <v>3</v>
      </c>
      <c r="L246" t="s">
        <v>10</v>
      </c>
      <c r="M246" t="s">
        <v>16</v>
      </c>
      <c r="N246">
        <v>1.375</v>
      </c>
    </row>
    <row r="247" spans="1:14">
      <c r="A247" t="s">
        <v>263</v>
      </c>
      <c r="B247" t="s">
        <v>35</v>
      </c>
      <c r="C247">
        <v>2</v>
      </c>
      <c r="D247" t="s">
        <v>9</v>
      </c>
      <c r="E247">
        <v>721</v>
      </c>
      <c r="F247">
        <v>870</v>
      </c>
      <c r="G247">
        <v>3.31</v>
      </c>
      <c r="H247">
        <v>0.8275</v>
      </c>
      <c r="K247">
        <v>3</v>
      </c>
      <c r="L247" t="s">
        <v>10</v>
      </c>
      <c r="M247" t="s">
        <v>16</v>
      </c>
      <c r="N247">
        <v>1.74</v>
      </c>
    </row>
    <row r="248" spans="1:14">
      <c r="A248" t="s">
        <v>264</v>
      </c>
      <c r="B248" t="s">
        <v>18</v>
      </c>
      <c r="C248">
        <v>2</v>
      </c>
      <c r="D248" t="s">
        <v>9</v>
      </c>
      <c r="E248">
        <v>1219</v>
      </c>
      <c r="F248">
        <v>841</v>
      </c>
      <c r="G248">
        <v>5.8</v>
      </c>
      <c r="H248">
        <v>1.45</v>
      </c>
      <c r="K248">
        <v>3</v>
      </c>
      <c r="L248" t="s">
        <v>10</v>
      </c>
      <c r="M248" t="s">
        <v>16</v>
      </c>
      <c r="N248">
        <v>1.74</v>
      </c>
    </row>
    <row r="249" spans="1:14">
      <c r="A249" t="s">
        <v>265</v>
      </c>
      <c r="B249" t="s">
        <v>22</v>
      </c>
      <c r="C249">
        <v>2</v>
      </c>
      <c r="D249" t="s">
        <v>9</v>
      </c>
      <c r="E249">
        <v>323</v>
      </c>
      <c r="F249">
        <v>869</v>
      </c>
      <c r="G249">
        <v>1.49</v>
      </c>
      <c r="H249">
        <v>0.3725</v>
      </c>
      <c r="K249">
        <v>3</v>
      </c>
      <c r="L249" t="s">
        <v>10</v>
      </c>
      <c r="M249" t="s">
        <v>16</v>
      </c>
      <c r="N249">
        <v>1.5275</v>
      </c>
    </row>
    <row r="250" spans="1:14">
      <c r="A250" t="s">
        <v>266</v>
      </c>
      <c r="B250" t="s">
        <v>35</v>
      </c>
      <c r="C250">
        <v>1</v>
      </c>
      <c r="D250" t="s">
        <v>9</v>
      </c>
      <c r="E250">
        <v>1562</v>
      </c>
      <c r="F250">
        <v>846</v>
      </c>
      <c r="G250">
        <v>7.39</v>
      </c>
      <c r="H250">
        <v>1.8475</v>
      </c>
      <c r="K250">
        <v>3</v>
      </c>
      <c r="L250" t="s">
        <v>10</v>
      </c>
      <c r="M250" t="s">
        <v>16</v>
      </c>
      <c r="N250">
        <v>1.575</v>
      </c>
    </row>
    <row r="251" spans="1:14">
      <c r="A251" t="s">
        <v>267</v>
      </c>
      <c r="B251" t="s">
        <v>8</v>
      </c>
      <c r="C251">
        <v>1</v>
      </c>
      <c r="D251" t="s">
        <v>19</v>
      </c>
      <c r="E251">
        <v>1068</v>
      </c>
      <c r="F251">
        <v>868</v>
      </c>
      <c r="G251">
        <v>4.92</v>
      </c>
      <c r="H251">
        <v>1.23</v>
      </c>
      <c r="K251">
        <v>3</v>
      </c>
      <c r="L251" t="s">
        <v>10</v>
      </c>
      <c r="M251" t="s">
        <v>16</v>
      </c>
      <c r="N251">
        <v>1.2525</v>
      </c>
    </row>
    <row r="252" spans="1:14">
      <c r="A252" t="s">
        <v>268</v>
      </c>
      <c r="B252" t="s">
        <v>41</v>
      </c>
      <c r="C252">
        <v>1</v>
      </c>
      <c r="D252" t="s">
        <v>19</v>
      </c>
      <c r="E252">
        <v>177</v>
      </c>
      <c r="F252">
        <v>841</v>
      </c>
      <c r="G252">
        <v>0.84</v>
      </c>
      <c r="H252">
        <v>0.21</v>
      </c>
      <c r="K252">
        <v>0</v>
      </c>
      <c r="L252" t="s">
        <v>10</v>
      </c>
      <c r="M252" t="s">
        <v>18</v>
      </c>
      <c r="N252">
        <v>1.365</v>
      </c>
    </row>
    <row r="253" spans="1:14">
      <c r="A253" t="s">
        <v>269</v>
      </c>
      <c r="B253" t="s">
        <v>13</v>
      </c>
      <c r="C253">
        <v>1</v>
      </c>
      <c r="D253" t="s">
        <v>19</v>
      </c>
      <c r="E253">
        <v>896</v>
      </c>
      <c r="F253">
        <v>841</v>
      </c>
      <c r="G253">
        <v>4.26</v>
      </c>
      <c r="H253">
        <v>1.065</v>
      </c>
      <c r="K253">
        <v>0</v>
      </c>
      <c r="L253" t="s">
        <v>10</v>
      </c>
      <c r="M253" t="s">
        <v>18</v>
      </c>
      <c r="N253">
        <v>0.715</v>
      </c>
    </row>
    <row r="254" spans="1:14">
      <c r="A254" t="s">
        <v>270</v>
      </c>
      <c r="B254" t="s">
        <v>16</v>
      </c>
      <c r="C254">
        <v>1</v>
      </c>
      <c r="D254" t="s">
        <v>19</v>
      </c>
      <c r="E254">
        <v>401</v>
      </c>
      <c r="F254">
        <v>861</v>
      </c>
      <c r="G254">
        <v>1.86</v>
      </c>
      <c r="H254">
        <v>0.465</v>
      </c>
      <c r="K254">
        <v>0</v>
      </c>
      <c r="L254" t="s">
        <v>10</v>
      </c>
      <c r="M254" t="s">
        <v>18</v>
      </c>
      <c r="N254">
        <v>1.2925</v>
      </c>
    </row>
    <row r="255" spans="1:14">
      <c r="A255" t="s">
        <v>271</v>
      </c>
      <c r="B255" t="s">
        <v>20</v>
      </c>
      <c r="C255">
        <v>1</v>
      </c>
      <c r="D255" t="s">
        <v>19</v>
      </c>
      <c r="E255">
        <v>1065</v>
      </c>
      <c r="F255">
        <v>870</v>
      </c>
      <c r="G255">
        <v>4.9</v>
      </c>
      <c r="H255">
        <v>1.225</v>
      </c>
      <c r="K255">
        <v>0</v>
      </c>
      <c r="L255" t="s">
        <v>10</v>
      </c>
      <c r="M255" t="s">
        <v>18</v>
      </c>
      <c r="N255">
        <v>0.6675</v>
      </c>
    </row>
    <row r="256" spans="1:14">
      <c r="A256" t="s">
        <v>272</v>
      </c>
      <c r="B256" t="s">
        <v>35</v>
      </c>
      <c r="C256">
        <v>1</v>
      </c>
      <c r="D256" t="s">
        <v>19</v>
      </c>
      <c r="E256">
        <v>512</v>
      </c>
      <c r="F256">
        <v>841</v>
      </c>
      <c r="G256">
        <v>2.44</v>
      </c>
      <c r="H256">
        <v>0.61</v>
      </c>
      <c r="K256">
        <v>0</v>
      </c>
      <c r="L256" t="s">
        <v>10</v>
      </c>
      <c r="M256" t="s">
        <v>18</v>
      </c>
      <c r="N256">
        <v>1.605</v>
      </c>
    </row>
    <row r="257" spans="1:14">
      <c r="A257" t="s">
        <v>273</v>
      </c>
      <c r="B257" t="s">
        <v>18</v>
      </c>
      <c r="C257">
        <v>1</v>
      </c>
      <c r="D257" t="s">
        <v>19</v>
      </c>
      <c r="E257">
        <v>662</v>
      </c>
      <c r="F257">
        <v>841</v>
      </c>
      <c r="G257">
        <v>3.15</v>
      </c>
      <c r="H257">
        <v>0.7875</v>
      </c>
      <c r="K257">
        <v>1</v>
      </c>
      <c r="L257" t="s">
        <v>10</v>
      </c>
      <c r="M257" t="s">
        <v>18</v>
      </c>
      <c r="N257">
        <v>1.9625</v>
      </c>
    </row>
    <row r="258" spans="1:14">
      <c r="A258" t="s">
        <v>274</v>
      </c>
      <c r="B258" t="s">
        <v>22</v>
      </c>
      <c r="C258">
        <v>1</v>
      </c>
      <c r="D258" t="s">
        <v>19</v>
      </c>
      <c r="E258">
        <v>473</v>
      </c>
      <c r="F258">
        <v>862</v>
      </c>
      <c r="G258">
        <v>2.19</v>
      </c>
      <c r="H258">
        <v>0.5475</v>
      </c>
      <c r="K258">
        <v>1</v>
      </c>
      <c r="L258" t="s">
        <v>10</v>
      </c>
      <c r="M258" t="s">
        <v>18</v>
      </c>
      <c r="N258">
        <v>1.1825</v>
      </c>
    </row>
    <row r="259" spans="1:14">
      <c r="A259" t="s">
        <v>275</v>
      </c>
      <c r="B259" t="s">
        <v>8</v>
      </c>
      <c r="C259">
        <v>1</v>
      </c>
      <c r="D259" t="s">
        <v>19</v>
      </c>
      <c r="E259">
        <v>856</v>
      </c>
      <c r="F259">
        <v>844</v>
      </c>
      <c r="G259">
        <v>4.06</v>
      </c>
      <c r="H259">
        <v>1.015</v>
      </c>
      <c r="K259">
        <v>1</v>
      </c>
      <c r="L259" t="s">
        <v>10</v>
      </c>
      <c r="M259" t="s">
        <v>18</v>
      </c>
      <c r="N259">
        <v>2.0675</v>
      </c>
    </row>
    <row r="260" spans="1:14">
      <c r="A260" t="s">
        <v>276</v>
      </c>
      <c r="B260" t="s">
        <v>41</v>
      </c>
      <c r="C260">
        <v>1</v>
      </c>
      <c r="D260" t="s">
        <v>19</v>
      </c>
      <c r="E260">
        <v>125</v>
      </c>
      <c r="F260">
        <v>863</v>
      </c>
      <c r="G260">
        <v>0.58</v>
      </c>
      <c r="H260">
        <v>0.145</v>
      </c>
      <c r="K260">
        <v>1</v>
      </c>
      <c r="L260" t="s">
        <v>10</v>
      </c>
      <c r="M260" t="s">
        <v>18</v>
      </c>
      <c r="N260">
        <v>1.155</v>
      </c>
    </row>
    <row r="261" spans="1:14">
      <c r="A261" t="s">
        <v>277</v>
      </c>
      <c r="B261" t="s">
        <v>13</v>
      </c>
      <c r="C261">
        <v>1</v>
      </c>
      <c r="D261" t="s">
        <v>19</v>
      </c>
      <c r="E261">
        <v>613</v>
      </c>
      <c r="F261">
        <v>841</v>
      </c>
      <c r="G261">
        <v>2.92</v>
      </c>
      <c r="H261">
        <v>0.73</v>
      </c>
      <c r="K261">
        <v>1</v>
      </c>
      <c r="L261" t="s">
        <v>10</v>
      </c>
      <c r="M261" t="s">
        <v>18</v>
      </c>
      <c r="N261">
        <v>2.5575</v>
      </c>
    </row>
    <row r="262" spans="1:14">
      <c r="A262" t="s">
        <v>278</v>
      </c>
      <c r="B262" t="s">
        <v>16</v>
      </c>
      <c r="C262">
        <v>1</v>
      </c>
      <c r="D262" t="s">
        <v>19</v>
      </c>
      <c r="E262">
        <v>895</v>
      </c>
      <c r="F262">
        <v>854</v>
      </c>
      <c r="G262">
        <v>4.19</v>
      </c>
      <c r="H262">
        <v>1.0475</v>
      </c>
      <c r="K262">
        <v>2</v>
      </c>
      <c r="L262" t="s">
        <v>10</v>
      </c>
      <c r="M262" t="s">
        <v>18</v>
      </c>
      <c r="N262">
        <v>2.4325</v>
      </c>
    </row>
    <row r="263" spans="1:14">
      <c r="A263" t="s">
        <v>279</v>
      </c>
      <c r="B263" t="s">
        <v>20</v>
      </c>
      <c r="C263">
        <v>1</v>
      </c>
      <c r="D263" t="s">
        <v>19</v>
      </c>
      <c r="E263">
        <v>1736</v>
      </c>
      <c r="F263">
        <v>867</v>
      </c>
      <c r="G263">
        <v>8.01</v>
      </c>
      <c r="H263">
        <v>2.0025</v>
      </c>
      <c r="K263">
        <v>2</v>
      </c>
      <c r="L263" t="s">
        <v>10</v>
      </c>
      <c r="M263" t="s">
        <v>18</v>
      </c>
      <c r="N263">
        <v>1.25</v>
      </c>
    </row>
    <row r="264" spans="1:14">
      <c r="A264" t="s">
        <v>280</v>
      </c>
      <c r="B264" t="s">
        <v>35</v>
      </c>
      <c r="C264">
        <v>1</v>
      </c>
      <c r="D264" t="s">
        <v>19</v>
      </c>
      <c r="E264">
        <v>849</v>
      </c>
      <c r="F264">
        <v>842</v>
      </c>
      <c r="G264">
        <v>4.03</v>
      </c>
      <c r="H264">
        <v>1.0075</v>
      </c>
      <c r="K264">
        <v>2</v>
      </c>
      <c r="L264" t="s">
        <v>10</v>
      </c>
      <c r="M264" t="s">
        <v>18</v>
      </c>
      <c r="N264">
        <v>2.49</v>
      </c>
    </row>
    <row r="265" spans="1:14">
      <c r="A265" t="s">
        <v>281</v>
      </c>
      <c r="B265" t="s">
        <v>18</v>
      </c>
      <c r="C265">
        <v>1</v>
      </c>
      <c r="D265" t="s">
        <v>19</v>
      </c>
      <c r="E265">
        <v>555</v>
      </c>
      <c r="F265">
        <v>898</v>
      </c>
      <c r="G265">
        <v>2.47</v>
      </c>
      <c r="H265">
        <v>0.6175</v>
      </c>
      <c r="K265">
        <v>2</v>
      </c>
      <c r="L265" t="s">
        <v>10</v>
      </c>
      <c r="M265" t="s">
        <v>18</v>
      </c>
      <c r="N265">
        <v>1.455</v>
      </c>
    </row>
    <row r="266" spans="1:14">
      <c r="A266" t="s">
        <v>282</v>
      </c>
      <c r="B266" t="s">
        <v>22</v>
      </c>
      <c r="C266">
        <v>1</v>
      </c>
      <c r="D266" t="s">
        <v>19</v>
      </c>
      <c r="E266">
        <v>720</v>
      </c>
      <c r="F266">
        <v>870</v>
      </c>
      <c r="G266">
        <v>3.31</v>
      </c>
      <c r="H266">
        <v>0.8275</v>
      </c>
      <c r="K266">
        <v>2</v>
      </c>
      <c r="L266" t="s">
        <v>10</v>
      </c>
      <c r="M266" t="s">
        <v>18</v>
      </c>
      <c r="N266">
        <v>1.01</v>
      </c>
    </row>
    <row r="267" spans="1:14">
      <c r="A267" t="s">
        <v>283</v>
      </c>
      <c r="B267" t="s">
        <v>8</v>
      </c>
      <c r="C267">
        <v>1</v>
      </c>
      <c r="D267" t="s">
        <v>19</v>
      </c>
      <c r="E267">
        <v>1535</v>
      </c>
      <c r="F267">
        <v>866</v>
      </c>
      <c r="G267">
        <v>7.09</v>
      </c>
      <c r="H267">
        <v>1.7725</v>
      </c>
      <c r="K267">
        <v>3</v>
      </c>
      <c r="L267" t="s">
        <v>10</v>
      </c>
      <c r="M267" t="s">
        <v>18</v>
      </c>
      <c r="N267">
        <v>3.275</v>
      </c>
    </row>
    <row r="268" spans="1:14">
      <c r="A268" t="s">
        <v>284</v>
      </c>
      <c r="B268" t="s">
        <v>41</v>
      </c>
      <c r="C268">
        <v>1</v>
      </c>
      <c r="D268" t="s">
        <v>19</v>
      </c>
      <c r="E268">
        <v>137</v>
      </c>
      <c r="F268">
        <v>865</v>
      </c>
      <c r="G268">
        <v>0.63</v>
      </c>
      <c r="H268">
        <v>0.1575</v>
      </c>
      <c r="K268">
        <v>3</v>
      </c>
      <c r="L268" t="s">
        <v>10</v>
      </c>
      <c r="M268" t="s">
        <v>18</v>
      </c>
      <c r="N268">
        <v>1.23</v>
      </c>
    </row>
    <row r="269" spans="1:14">
      <c r="A269" t="s">
        <v>285</v>
      </c>
      <c r="B269" t="s">
        <v>13</v>
      </c>
      <c r="C269">
        <v>1</v>
      </c>
      <c r="D269" t="s">
        <v>19</v>
      </c>
      <c r="E269">
        <v>517</v>
      </c>
      <c r="F269">
        <v>842</v>
      </c>
      <c r="G269">
        <v>2.46</v>
      </c>
      <c r="H269">
        <v>0.615</v>
      </c>
      <c r="K269">
        <v>3</v>
      </c>
      <c r="L269" t="s">
        <v>10</v>
      </c>
      <c r="M269" t="s">
        <v>18</v>
      </c>
      <c r="N269">
        <v>3.26</v>
      </c>
    </row>
    <row r="270" spans="1:14">
      <c r="A270" t="s">
        <v>286</v>
      </c>
      <c r="B270" t="s">
        <v>16</v>
      </c>
      <c r="C270">
        <v>1</v>
      </c>
      <c r="D270" t="s">
        <v>19</v>
      </c>
      <c r="E270">
        <v>1257</v>
      </c>
      <c r="F270">
        <v>870</v>
      </c>
      <c r="G270">
        <v>5.78</v>
      </c>
      <c r="H270">
        <v>1.445</v>
      </c>
      <c r="K270">
        <v>3</v>
      </c>
      <c r="L270" t="s">
        <v>10</v>
      </c>
      <c r="M270" t="s">
        <v>18</v>
      </c>
      <c r="N270">
        <v>1.3475</v>
      </c>
    </row>
    <row r="271" spans="1:14">
      <c r="A271" t="s">
        <v>287</v>
      </c>
      <c r="B271" t="s">
        <v>20</v>
      </c>
      <c r="C271">
        <v>1</v>
      </c>
      <c r="D271" t="s">
        <v>19</v>
      </c>
      <c r="E271">
        <v>1364</v>
      </c>
      <c r="F271">
        <v>870</v>
      </c>
      <c r="G271">
        <v>6.27</v>
      </c>
      <c r="H271">
        <v>1.5675</v>
      </c>
      <c r="K271">
        <v>3</v>
      </c>
      <c r="L271" t="s">
        <v>10</v>
      </c>
      <c r="M271" t="s">
        <v>18</v>
      </c>
      <c r="N271">
        <v>1.53</v>
      </c>
    </row>
    <row r="272" spans="1:14">
      <c r="A272" t="s">
        <v>288</v>
      </c>
      <c r="B272" t="s">
        <v>35</v>
      </c>
      <c r="C272">
        <v>1</v>
      </c>
      <c r="D272" t="s">
        <v>19</v>
      </c>
      <c r="E272">
        <v>950</v>
      </c>
      <c r="F272">
        <v>870</v>
      </c>
      <c r="G272">
        <v>4.37</v>
      </c>
      <c r="H272">
        <v>1.0925</v>
      </c>
      <c r="K272">
        <v>0</v>
      </c>
      <c r="L272" t="s">
        <v>10</v>
      </c>
      <c r="M272" t="s">
        <v>35</v>
      </c>
      <c r="N272">
        <v>0.685</v>
      </c>
    </row>
    <row r="273" spans="1:14">
      <c r="A273" t="s">
        <v>289</v>
      </c>
      <c r="B273" t="s">
        <v>18</v>
      </c>
      <c r="C273">
        <v>1</v>
      </c>
      <c r="D273" t="s">
        <v>19</v>
      </c>
      <c r="E273">
        <v>1038</v>
      </c>
      <c r="F273">
        <v>842</v>
      </c>
      <c r="G273">
        <v>4.93</v>
      </c>
      <c r="H273">
        <v>1.2325</v>
      </c>
      <c r="K273">
        <v>0</v>
      </c>
      <c r="L273" t="s">
        <v>10</v>
      </c>
      <c r="M273" t="s">
        <v>35</v>
      </c>
      <c r="N273">
        <v>0.76</v>
      </c>
    </row>
    <row r="274" spans="1:14">
      <c r="A274" t="s">
        <v>290</v>
      </c>
      <c r="B274" t="s">
        <v>22</v>
      </c>
      <c r="C274">
        <v>1</v>
      </c>
      <c r="D274" t="s">
        <v>19</v>
      </c>
      <c r="E274">
        <v>708</v>
      </c>
      <c r="F274">
        <v>841</v>
      </c>
      <c r="G274">
        <v>3.37</v>
      </c>
      <c r="H274">
        <v>0.8425</v>
      </c>
      <c r="K274">
        <v>0</v>
      </c>
      <c r="L274" t="s">
        <v>10</v>
      </c>
      <c r="M274" t="s">
        <v>35</v>
      </c>
      <c r="N274">
        <v>0.475</v>
      </c>
    </row>
    <row r="275" spans="1:14">
      <c r="A275" t="s">
        <v>291</v>
      </c>
      <c r="B275" t="s">
        <v>8</v>
      </c>
      <c r="C275">
        <v>1</v>
      </c>
      <c r="D275" t="s">
        <v>19</v>
      </c>
      <c r="E275">
        <v>719</v>
      </c>
      <c r="F275">
        <v>854</v>
      </c>
      <c r="G275">
        <v>3.37</v>
      </c>
      <c r="H275">
        <v>0.8425</v>
      </c>
      <c r="K275">
        <v>0</v>
      </c>
      <c r="L275" t="s">
        <v>10</v>
      </c>
      <c r="M275" t="s">
        <v>35</v>
      </c>
      <c r="N275">
        <v>0.8725</v>
      </c>
    </row>
    <row r="276" spans="1:14">
      <c r="A276" t="s">
        <v>292</v>
      </c>
      <c r="B276" t="s">
        <v>41</v>
      </c>
      <c r="C276">
        <v>1</v>
      </c>
      <c r="D276" t="s">
        <v>19</v>
      </c>
      <c r="E276">
        <v>224</v>
      </c>
      <c r="F276">
        <v>860</v>
      </c>
      <c r="G276">
        <v>1.04</v>
      </c>
      <c r="H276">
        <v>0.26</v>
      </c>
      <c r="K276">
        <v>0</v>
      </c>
      <c r="L276" t="s">
        <v>10</v>
      </c>
      <c r="M276" t="s">
        <v>35</v>
      </c>
      <c r="N276">
        <v>0.74</v>
      </c>
    </row>
    <row r="277" spans="1:14">
      <c r="A277" t="s">
        <v>293</v>
      </c>
      <c r="B277" t="s">
        <v>13</v>
      </c>
      <c r="C277">
        <v>1</v>
      </c>
      <c r="D277" t="s">
        <v>19</v>
      </c>
      <c r="E277">
        <v>1311</v>
      </c>
      <c r="F277">
        <v>843</v>
      </c>
      <c r="G277">
        <v>6.22</v>
      </c>
      <c r="H277">
        <v>1.555</v>
      </c>
      <c r="K277">
        <v>1</v>
      </c>
      <c r="L277" t="s">
        <v>10</v>
      </c>
      <c r="M277" t="s">
        <v>35</v>
      </c>
      <c r="N277">
        <v>0.94</v>
      </c>
    </row>
    <row r="278" spans="1:14">
      <c r="A278" t="s">
        <v>294</v>
      </c>
      <c r="B278" t="s">
        <v>16</v>
      </c>
      <c r="C278">
        <v>1</v>
      </c>
      <c r="D278" t="s">
        <v>19</v>
      </c>
      <c r="E278">
        <v>747</v>
      </c>
      <c r="F278">
        <v>841</v>
      </c>
      <c r="G278">
        <v>3.55</v>
      </c>
      <c r="H278">
        <v>0.8875</v>
      </c>
      <c r="K278">
        <v>1</v>
      </c>
      <c r="L278" t="s">
        <v>10</v>
      </c>
      <c r="M278" t="s">
        <v>35</v>
      </c>
      <c r="N278">
        <v>1.215</v>
      </c>
    </row>
    <row r="279" spans="1:14">
      <c r="A279" t="s">
        <v>295</v>
      </c>
      <c r="B279" t="s">
        <v>20</v>
      </c>
      <c r="C279">
        <v>1</v>
      </c>
      <c r="D279" t="s">
        <v>19</v>
      </c>
      <c r="E279">
        <v>2405</v>
      </c>
      <c r="F279">
        <v>870</v>
      </c>
      <c r="G279">
        <v>11.06</v>
      </c>
      <c r="H279">
        <v>2.765</v>
      </c>
      <c r="K279">
        <v>1</v>
      </c>
      <c r="L279" t="s">
        <v>10</v>
      </c>
      <c r="M279" t="s">
        <v>35</v>
      </c>
      <c r="N279">
        <v>0.4975</v>
      </c>
    </row>
    <row r="280" spans="1:14">
      <c r="A280" t="s">
        <v>296</v>
      </c>
      <c r="B280" t="s">
        <v>35</v>
      </c>
      <c r="C280">
        <v>1</v>
      </c>
      <c r="D280" t="s">
        <v>19</v>
      </c>
      <c r="E280">
        <v>767</v>
      </c>
      <c r="F280">
        <v>841</v>
      </c>
      <c r="G280">
        <v>3.65</v>
      </c>
      <c r="H280">
        <v>0.9125</v>
      </c>
      <c r="K280">
        <v>1</v>
      </c>
      <c r="L280" t="s">
        <v>10</v>
      </c>
      <c r="M280" t="s">
        <v>35</v>
      </c>
      <c r="N280">
        <v>1.3625</v>
      </c>
    </row>
    <row r="281" spans="1:14">
      <c r="A281" t="s">
        <v>297</v>
      </c>
      <c r="B281" t="s">
        <v>18</v>
      </c>
      <c r="C281">
        <v>1</v>
      </c>
      <c r="D281" t="s">
        <v>19</v>
      </c>
      <c r="E281">
        <v>730</v>
      </c>
      <c r="F281">
        <v>870</v>
      </c>
      <c r="G281">
        <v>3.36</v>
      </c>
      <c r="H281">
        <v>0.84</v>
      </c>
      <c r="K281">
        <v>1</v>
      </c>
      <c r="L281" t="s">
        <v>10</v>
      </c>
      <c r="M281" t="s">
        <v>35</v>
      </c>
      <c r="N281">
        <v>1.155</v>
      </c>
    </row>
    <row r="282" spans="1:14">
      <c r="A282" t="s">
        <v>298</v>
      </c>
      <c r="B282" t="s">
        <v>22</v>
      </c>
      <c r="C282">
        <v>1</v>
      </c>
      <c r="D282" t="s">
        <v>19</v>
      </c>
      <c r="E282">
        <v>1557</v>
      </c>
      <c r="F282">
        <v>882</v>
      </c>
      <c r="G282">
        <v>7.06</v>
      </c>
      <c r="H282">
        <v>1.765</v>
      </c>
      <c r="K282">
        <v>2</v>
      </c>
      <c r="L282" t="s">
        <v>10</v>
      </c>
      <c r="M282" t="s">
        <v>35</v>
      </c>
      <c r="N282">
        <v>0.97</v>
      </c>
    </row>
    <row r="283" spans="1:14">
      <c r="A283" t="s">
        <v>299</v>
      </c>
      <c r="B283" t="s">
        <v>8</v>
      </c>
      <c r="C283">
        <v>1</v>
      </c>
      <c r="D283" t="s">
        <v>19</v>
      </c>
      <c r="E283">
        <v>2698</v>
      </c>
      <c r="F283">
        <v>869</v>
      </c>
      <c r="G283">
        <v>12.42</v>
      </c>
      <c r="H283">
        <v>3.105</v>
      </c>
      <c r="K283">
        <v>2</v>
      </c>
      <c r="L283" t="s">
        <v>10</v>
      </c>
      <c r="M283" t="s">
        <v>35</v>
      </c>
      <c r="N283">
        <v>1.3175</v>
      </c>
    </row>
    <row r="284" spans="1:14">
      <c r="A284" t="s">
        <v>300</v>
      </c>
      <c r="B284" t="s">
        <v>13</v>
      </c>
      <c r="C284">
        <v>1</v>
      </c>
      <c r="D284" t="s">
        <v>19</v>
      </c>
      <c r="E284">
        <v>873</v>
      </c>
      <c r="F284">
        <v>867</v>
      </c>
      <c r="G284">
        <v>4.03</v>
      </c>
      <c r="H284">
        <v>1.0075</v>
      </c>
      <c r="K284">
        <v>2</v>
      </c>
      <c r="L284" t="s">
        <v>10</v>
      </c>
      <c r="M284" t="s">
        <v>35</v>
      </c>
      <c r="N284">
        <v>0.8275</v>
      </c>
    </row>
    <row r="285" spans="1:14">
      <c r="A285" t="s">
        <v>301</v>
      </c>
      <c r="B285" t="s">
        <v>16</v>
      </c>
      <c r="C285">
        <v>1</v>
      </c>
      <c r="D285" t="s">
        <v>19</v>
      </c>
      <c r="E285">
        <v>2292</v>
      </c>
      <c r="F285">
        <v>870</v>
      </c>
      <c r="G285">
        <v>10.54</v>
      </c>
      <c r="H285">
        <v>2.635</v>
      </c>
      <c r="K285">
        <v>2</v>
      </c>
      <c r="L285" t="s">
        <v>10</v>
      </c>
      <c r="M285" t="s">
        <v>35</v>
      </c>
      <c r="N285">
        <v>1.605</v>
      </c>
    </row>
    <row r="286" spans="1:14">
      <c r="A286" t="s">
        <v>302</v>
      </c>
      <c r="B286" t="s">
        <v>20</v>
      </c>
      <c r="C286">
        <v>1</v>
      </c>
      <c r="D286" t="s">
        <v>19</v>
      </c>
      <c r="E286">
        <v>1532</v>
      </c>
      <c r="F286">
        <v>868</v>
      </c>
      <c r="G286">
        <v>7.06</v>
      </c>
      <c r="H286">
        <v>1.765</v>
      </c>
      <c r="K286">
        <v>2</v>
      </c>
      <c r="L286" t="s">
        <v>10</v>
      </c>
      <c r="M286" t="s">
        <v>35</v>
      </c>
      <c r="N286">
        <v>1.3675</v>
      </c>
    </row>
    <row r="287" spans="1:14">
      <c r="A287" t="s">
        <v>303</v>
      </c>
      <c r="B287" t="s">
        <v>35</v>
      </c>
      <c r="C287">
        <v>1</v>
      </c>
      <c r="D287" t="s">
        <v>19</v>
      </c>
      <c r="E287">
        <v>683</v>
      </c>
      <c r="F287">
        <v>839</v>
      </c>
      <c r="G287">
        <v>3.26</v>
      </c>
      <c r="H287">
        <v>0.815</v>
      </c>
      <c r="K287">
        <v>3</v>
      </c>
      <c r="L287" t="s">
        <v>10</v>
      </c>
      <c r="M287" t="s">
        <v>35</v>
      </c>
      <c r="N287">
        <v>1.185</v>
      </c>
    </row>
    <row r="288" spans="1:14">
      <c r="A288" t="s">
        <v>304</v>
      </c>
      <c r="B288" t="s">
        <v>18</v>
      </c>
      <c r="C288">
        <v>1</v>
      </c>
      <c r="D288" t="s">
        <v>19</v>
      </c>
      <c r="E288">
        <v>1712</v>
      </c>
      <c r="F288">
        <v>841</v>
      </c>
      <c r="G288">
        <v>8.14</v>
      </c>
      <c r="H288">
        <v>2.035</v>
      </c>
      <c r="K288">
        <v>3</v>
      </c>
      <c r="L288" t="s">
        <v>10</v>
      </c>
      <c r="M288" t="s">
        <v>35</v>
      </c>
      <c r="N288">
        <v>1.3375</v>
      </c>
    </row>
    <row r="289" spans="1:14">
      <c r="A289" t="s">
        <v>305</v>
      </c>
      <c r="B289" t="s">
        <v>22</v>
      </c>
      <c r="C289">
        <v>1</v>
      </c>
      <c r="D289" t="s">
        <v>19</v>
      </c>
      <c r="E289">
        <v>441</v>
      </c>
      <c r="F289">
        <v>841</v>
      </c>
      <c r="G289">
        <v>2.1</v>
      </c>
      <c r="H289">
        <v>0.525</v>
      </c>
      <c r="K289">
        <v>3</v>
      </c>
      <c r="L289" t="s">
        <v>10</v>
      </c>
      <c r="M289" t="s">
        <v>35</v>
      </c>
      <c r="N289">
        <v>1.1625</v>
      </c>
    </row>
    <row r="290" spans="1:14">
      <c r="A290" t="s">
        <v>306</v>
      </c>
      <c r="B290" t="s">
        <v>8</v>
      </c>
      <c r="C290">
        <v>1</v>
      </c>
      <c r="D290" t="s">
        <v>10</v>
      </c>
      <c r="E290">
        <v>508</v>
      </c>
      <c r="F290">
        <v>841</v>
      </c>
      <c r="G290">
        <v>2.42</v>
      </c>
      <c r="H290">
        <v>0.605</v>
      </c>
      <c r="K290">
        <v>3</v>
      </c>
      <c r="L290" t="s">
        <v>10</v>
      </c>
      <c r="M290" t="s">
        <v>35</v>
      </c>
      <c r="N290">
        <v>1.6125</v>
      </c>
    </row>
    <row r="291" spans="1:14">
      <c r="A291" t="s">
        <v>307</v>
      </c>
      <c r="B291" t="s">
        <v>41</v>
      </c>
      <c r="C291">
        <v>1</v>
      </c>
      <c r="D291" t="s">
        <v>10</v>
      </c>
      <c r="E291">
        <v>356</v>
      </c>
      <c r="F291">
        <v>853</v>
      </c>
      <c r="G291">
        <v>1.67</v>
      </c>
      <c r="H291">
        <v>0.4175</v>
      </c>
      <c r="K291">
        <v>3</v>
      </c>
      <c r="L291" t="s">
        <v>10</v>
      </c>
      <c r="M291" t="s">
        <v>35</v>
      </c>
      <c r="N291">
        <v>1.8</v>
      </c>
    </row>
    <row r="292" spans="1:14">
      <c r="A292" t="s">
        <v>308</v>
      </c>
      <c r="B292" t="s">
        <v>13</v>
      </c>
      <c r="C292">
        <v>1</v>
      </c>
      <c r="D292" t="s">
        <v>10</v>
      </c>
      <c r="E292">
        <v>1405</v>
      </c>
      <c r="F292">
        <v>856</v>
      </c>
      <c r="G292">
        <v>6.57</v>
      </c>
      <c r="H292">
        <v>1.6425</v>
      </c>
      <c r="K292">
        <v>0</v>
      </c>
      <c r="L292" t="s">
        <v>10</v>
      </c>
      <c r="M292" t="s">
        <v>20</v>
      </c>
      <c r="N292">
        <v>1.1425</v>
      </c>
    </row>
    <row r="293" spans="1:14">
      <c r="A293" t="s">
        <v>309</v>
      </c>
      <c r="B293" t="s">
        <v>16</v>
      </c>
      <c r="C293">
        <v>1</v>
      </c>
      <c r="D293" t="s">
        <v>10</v>
      </c>
      <c r="E293">
        <v>861</v>
      </c>
      <c r="F293">
        <v>870</v>
      </c>
      <c r="G293">
        <v>3.96</v>
      </c>
      <c r="H293">
        <v>0.99</v>
      </c>
      <c r="K293">
        <v>0</v>
      </c>
      <c r="L293" t="s">
        <v>10</v>
      </c>
      <c r="M293" t="s">
        <v>20</v>
      </c>
      <c r="N293">
        <v>1.045</v>
      </c>
    </row>
    <row r="294" spans="1:14">
      <c r="A294" t="s">
        <v>310</v>
      </c>
      <c r="B294" t="s">
        <v>20</v>
      </c>
      <c r="C294">
        <v>1</v>
      </c>
      <c r="D294" t="s">
        <v>10</v>
      </c>
      <c r="E294">
        <v>1696</v>
      </c>
      <c r="F294">
        <v>819</v>
      </c>
      <c r="G294">
        <v>8.28</v>
      </c>
      <c r="H294">
        <v>2.07</v>
      </c>
      <c r="K294">
        <v>0</v>
      </c>
      <c r="L294" t="s">
        <v>10</v>
      </c>
      <c r="M294" t="s">
        <v>20</v>
      </c>
      <c r="N294">
        <v>0.4625</v>
      </c>
    </row>
    <row r="295" spans="1:14">
      <c r="A295" t="s">
        <v>311</v>
      </c>
      <c r="B295" t="s">
        <v>35</v>
      </c>
      <c r="C295">
        <v>1</v>
      </c>
      <c r="D295" t="s">
        <v>10</v>
      </c>
      <c r="E295">
        <v>808</v>
      </c>
      <c r="F295">
        <v>860</v>
      </c>
      <c r="G295">
        <v>3.76</v>
      </c>
      <c r="H295">
        <v>0.94</v>
      </c>
      <c r="K295">
        <v>0</v>
      </c>
      <c r="L295" t="s">
        <v>10</v>
      </c>
      <c r="M295" t="s">
        <v>20</v>
      </c>
      <c r="N295">
        <v>2.805</v>
      </c>
    </row>
    <row r="296" spans="1:14">
      <c r="A296" t="s">
        <v>312</v>
      </c>
      <c r="B296" t="s">
        <v>18</v>
      </c>
      <c r="C296">
        <v>1</v>
      </c>
      <c r="D296" t="s">
        <v>10</v>
      </c>
      <c r="E296">
        <v>1757</v>
      </c>
      <c r="F296">
        <v>895</v>
      </c>
      <c r="G296">
        <v>7.85</v>
      </c>
      <c r="H296">
        <v>1.9625</v>
      </c>
      <c r="K296">
        <v>0</v>
      </c>
      <c r="L296" t="s">
        <v>10</v>
      </c>
      <c r="M296" t="s">
        <v>20</v>
      </c>
      <c r="N296">
        <v>0.5475</v>
      </c>
    </row>
    <row r="297" spans="1:14">
      <c r="A297" t="s">
        <v>313</v>
      </c>
      <c r="B297" t="s">
        <v>22</v>
      </c>
      <c r="C297">
        <v>1</v>
      </c>
      <c r="D297" t="s">
        <v>10</v>
      </c>
      <c r="E297">
        <v>557</v>
      </c>
      <c r="F297">
        <v>862</v>
      </c>
      <c r="G297">
        <v>2.58</v>
      </c>
      <c r="H297">
        <v>0.645</v>
      </c>
      <c r="K297">
        <v>1</v>
      </c>
      <c r="L297" t="s">
        <v>10</v>
      </c>
      <c r="M297" t="s">
        <v>20</v>
      </c>
      <c r="N297">
        <v>2.07</v>
      </c>
    </row>
    <row r="298" spans="1:14">
      <c r="A298" t="s">
        <v>314</v>
      </c>
      <c r="B298" t="s">
        <v>8</v>
      </c>
      <c r="C298">
        <v>1</v>
      </c>
      <c r="D298" t="s">
        <v>10</v>
      </c>
      <c r="E298">
        <v>669</v>
      </c>
      <c r="F298">
        <v>844</v>
      </c>
      <c r="G298">
        <v>3.17</v>
      </c>
      <c r="H298">
        <v>0.7925</v>
      </c>
      <c r="K298">
        <v>1</v>
      </c>
      <c r="L298" t="s">
        <v>10</v>
      </c>
      <c r="M298" t="s">
        <v>20</v>
      </c>
      <c r="N298">
        <v>1.4975</v>
      </c>
    </row>
    <row r="299" spans="1:14">
      <c r="A299" t="s">
        <v>315</v>
      </c>
      <c r="B299" t="s">
        <v>41</v>
      </c>
      <c r="C299">
        <v>1</v>
      </c>
      <c r="D299" t="s">
        <v>10</v>
      </c>
      <c r="E299">
        <v>376</v>
      </c>
      <c r="F299">
        <v>863</v>
      </c>
      <c r="G299">
        <v>1.74</v>
      </c>
      <c r="H299">
        <v>0.435</v>
      </c>
      <c r="K299">
        <v>1</v>
      </c>
      <c r="L299" t="s">
        <v>10</v>
      </c>
      <c r="M299" t="s">
        <v>20</v>
      </c>
      <c r="N299">
        <v>0.6775</v>
      </c>
    </row>
    <row r="300" spans="1:14">
      <c r="A300" t="s">
        <v>316</v>
      </c>
      <c r="B300" t="s">
        <v>16</v>
      </c>
      <c r="C300">
        <v>1</v>
      </c>
      <c r="D300" t="s">
        <v>10</v>
      </c>
      <c r="E300">
        <v>1394</v>
      </c>
      <c r="F300">
        <v>860</v>
      </c>
      <c r="G300">
        <v>6.48</v>
      </c>
      <c r="H300">
        <v>1.62</v>
      </c>
      <c r="K300">
        <v>1</v>
      </c>
      <c r="L300" t="s">
        <v>10</v>
      </c>
      <c r="M300" t="s">
        <v>20</v>
      </c>
      <c r="N300">
        <v>3.7625</v>
      </c>
    </row>
    <row r="301" spans="1:14">
      <c r="A301" t="s">
        <v>317</v>
      </c>
      <c r="B301" t="s">
        <v>11</v>
      </c>
      <c r="C301">
        <v>1</v>
      </c>
      <c r="D301" t="s">
        <v>10</v>
      </c>
      <c r="E301">
        <v>1394</v>
      </c>
      <c r="F301">
        <v>860</v>
      </c>
      <c r="G301">
        <v>6.48</v>
      </c>
      <c r="H301">
        <v>1.62</v>
      </c>
      <c r="K301">
        <v>1</v>
      </c>
      <c r="L301" t="s">
        <v>10</v>
      </c>
      <c r="M301" t="s">
        <v>20</v>
      </c>
      <c r="N301">
        <v>0.845</v>
      </c>
    </row>
    <row r="302" spans="1:14">
      <c r="A302" t="s">
        <v>318</v>
      </c>
      <c r="B302" t="s">
        <v>20</v>
      </c>
      <c r="C302">
        <v>1</v>
      </c>
      <c r="D302" t="s">
        <v>10</v>
      </c>
      <c r="E302">
        <v>1260</v>
      </c>
      <c r="F302">
        <v>841</v>
      </c>
      <c r="G302">
        <v>5.99</v>
      </c>
      <c r="H302">
        <v>1.4975</v>
      </c>
      <c r="K302">
        <v>2</v>
      </c>
      <c r="L302" t="s">
        <v>10</v>
      </c>
      <c r="M302" t="s">
        <v>20</v>
      </c>
      <c r="N302">
        <v>2.125</v>
      </c>
    </row>
    <row r="303" spans="1:14">
      <c r="A303" t="s">
        <v>319</v>
      </c>
      <c r="B303" t="s">
        <v>35</v>
      </c>
      <c r="C303">
        <v>1</v>
      </c>
      <c r="D303" t="s">
        <v>10</v>
      </c>
      <c r="E303">
        <v>1020</v>
      </c>
      <c r="F303">
        <v>840</v>
      </c>
      <c r="G303">
        <v>4.86</v>
      </c>
      <c r="H303">
        <v>1.215</v>
      </c>
      <c r="K303">
        <v>2</v>
      </c>
      <c r="L303" t="s">
        <v>10</v>
      </c>
      <c r="M303" t="s">
        <v>20</v>
      </c>
      <c r="N303">
        <v>1.91</v>
      </c>
    </row>
    <row r="304" spans="1:14">
      <c r="A304" t="s">
        <v>320</v>
      </c>
      <c r="B304" t="s">
        <v>18</v>
      </c>
      <c r="C304">
        <v>1</v>
      </c>
      <c r="D304" t="s">
        <v>10</v>
      </c>
      <c r="E304">
        <v>1028</v>
      </c>
      <c r="F304">
        <v>870</v>
      </c>
      <c r="G304">
        <v>4.73</v>
      </c>
      <c r="H304">
        <v>1.1825</v>
      </c>
      <c r="K304">
        <v>2</v>
      </c>
      <c r="L304" t="s">
        <v>10</v>
      </c>
      <c r="M304" t="s">
        <v>20</v>
      </c>
      <c r="N304">
        <v>0.605</v>
      </c>
    </row>
    <row r="305" spans="1:14">
      <c r="A305" t="s">
        <v>321</v>
      </c>
      <c r="B305" t="s">
        <v>22</v>
      </c>
      <c r="C305">
        <v>1</v>
      </c>
      <c r="D305" t="s">
        <v>10</v>
      </c>
      <c r="E305">
        <v>3059</v>
      </c>
      <c r="F305">
        <v>892</v>
      </c>
      <c r="G305">
        <v>13.72</v>
      </c>
      <c r="H305">
        <v>3.43</v>
      </c>
      <c r="K305">
        <v>2</v>
      </c>
      <c r="L305" t="s">
        <v>10</v>
      </c>
      <c r="M305" t="s">
        <v>20</v>
      </c>
      <c r="N305">
        <v>4.5275</v>
      </c>
    </row>
    <row r="306" spans="1:14">
      <c r="A306" t="s">
        <v>322</v>
      </c>
      <c r="B306" t="s">
        <v>8</v>
      </c>
      <c r="C306">
        <v>1</v>
      </c>
      <c r="D306" t="s">
        <v>10</v>
      </c>
      <c r="E306">
        <v>271</v>
      </c>
      <c r="F306">
        <v>841</v>
      </c>
      <c r="G306">
        <v>1.29</v>
      </c>
      <c r="H306">
        <v>0.3225</v>
      </c>
      <c r="K306">
        <v>2</v>
      </c>
      <c r="L306" t="s">
        <v>10</v>
      </c>
      <c r="M306" t="s">
        <v>20</v>
      </c>
      <c r="N306">
        <v>1.4925</v>
      </c>
    </row>
    <row r="307" spans="1:14">
      <c r="A307" t="s">
        <v>323</v>
      </c>
      <c r="B307" t="s">
        <v>41</v>
      </c>
      <c r="C307">
        <v>1</v>
      </c>
      <c r="D307" t="s">
        <v>10</v>
      </c>
      <c r="E307">
        <v>579</v>
      </c>
      <c r="F307">
        <v>841</v>
      </c>
      <c r="G307">
        <v>2.75</v>
      </c>
      <c r="H307">
        <v>0.6875</v>
      </c>
      <c r="K307">
        <v>3</v>
      </c>
      <c r="L307" t="s">
        <v>10</v>
      </c>
      <c r="M307" t="s">
        <v>20</v>
      </c>
      <c r="N307">
        <v>2.6625</v>
      </c>
    </row>
    <row r="308" spans="1:14">
      <c r="A308" t="s">
        <v>324</v>
      </c>
      <c r="B308" t="s">
        <v>13</v>
      </c>
      <c r="C308">
        <v>1</v>
      </c>
      <c r="D308" t="s">
        <v>10</v>
      </c>
      <c r="E308">
        <v>915</v>
      </c>
      <c r="F308">
        <v>894</v>
      </c>
      <c r="G308">
        <v>4.09</v>
      </c>
      <c r="H308">
        <v>1.0225</v>
      </c>
      <c r="K308">
        <v>3</v>
      </c>
      <c r="L308" t="s">
        <v>10</v>
      </c>
      <c r="M308" t="s">
        <v>20</v>
      </c>
      <c r="N308">
        <v>1.9325</v>
      </c>
    </row>
    <row r="309" spans="1:14">
      <c r="A309" t="s">
        <v>325</v>
      </c>
      <c r="B309" t="s">
        <v>16</v>
      </c>
      <c r="C309">
        <v>1</v>
      </c>
      <c r="D309" t="s">
        <v>10</v>
      </c>
      <c r="E309">
        <v>1178</v>
      </c>
      <c r="F309">
        <v>841</v>
      </c>
      <c r="G309">
        <v>5.6</v>
      </c>
      <c r="H309">
        <v>1.4</v>
      </c>
      <c r="K309">
        <v>3</v>
      </c>
      <c r="L309" t="s">
        <v>10</v>
      </c>
      <c r="M309" t="s">
        <v>20</v>
      </c>
      <c r="N309">
        <v>0.785</v>
      </c>
    </row>
    <row r="310" spans="1:14">
      <c r="A310" t="s">
        <v>326</v>
      </c>
      <c r="B310" t="s">
        <v>20</v>
      </c>
      <c r="C310">
        <v>1</v>
      </c>
      <c r="D310" t="s">
        <v>10</v>
      </c>
      <c r="E310">
        <v>557</v>
      </c>
      <c r="F310">
        <v>823</v>
      </c>
      <c r="G310">
        <v>2.71</v>
      </c>
      <c r="H310">
        <v>0.6775</v>
      </c>
      <c r="K310">
        <v>3</v>
      </c>
      <c r="L310" t="s">
        <v>10</v>
      </c>
      <c r="M310" t="s">
        <v>20</v>
      </c>
      <c r="N310">
        <v>4.135</v>
      </c>
    </row>
    <row r="311" spans="1:14">
      <c r="A311" t="s">
        <v>327</v>
      </c>
      <c r="B311" t="s">
        <v>35</v>
      </c>
      <c r="C311">
        <v>1</v>
      </c>
      <c r="D311" t="s">
        <v>10</v>
      </c>
      <c r="E311">
        <v>430</v>
      </c>
      <c r="F311">
        <v>865</v>
      </c>
      <c r="G311">
        <v>1.99</v>
      </c>
      <c r="H311">
        <v>0.4975</v>
      </c>
      <c r="K311">
        <v>3</v>
      </c>
      <c r="L311" t="s">
        <v>10</v>
      </c>
      <c r="M311" t="s">
        <v>20</v>
      </c>
      <c r="N311">
        <v>2.4425</v>
      </c>
    </row>
    <row r="312" spans="1:14">
      <c r="A312" t="s">
        <v>328</v>
      </c>
      <c r="B312" t="s">
        <v>18</v>
      </c>
      <c r="C312">
        <v>1</v>
      </c>
      <c r="D312" t="s">
        <v>10</v>
      </c>
      <c r="E312">
        <v>1799</v>
      </c>
      <c r="F312">
        <v>870</v>
      </c>
      <c r="G312">
        <v>8.27</v>
      </c>
      <c r="H312">
        <v>2.0675</v>
      </c>
      <c r="K312">
        <v>0</v>
      </c>
      <c r="L312" t="s">
        <v>10</v>
      </c>
      <c r="M312" t="s">
        <v>11</v>
      </c>
      <c r="N312">
        <v>1.2625</v>
      </c>
    </row>
    <row r="313" spans="1:14">
      <c r="A313" t="s">
        <v>329</v>
      </c>
      <c r="B313" t="s">
        <v>22</v>
      </c>
      <c r="C313">
        <v>1</v>
      </c>
      <c r="D313" t="s">
        <v>10</v>
      </c>
      <c r="E313">
        <v>1071</v>
      </c>
      <c r="F313">
        <v>841</v>
      </c>
      <c r="G313">
        <v>5.09</v>
      </c>
      <c r="H313">
        <v>1.2725</v>
      </c>
      <c r="K313">
        <v>1</v>
      </c>
      <c r="L313" t="s">
        <v>10</v>
      </c>
      <c r="M313" t="s">
        <v>11</v>
      </c>
      <c r="N313">
        <v>1.62</v>
      </c>
    </row>
    <row r="314" spans="1:14">
      <c r="A314" t="s">
        <v>330</v>
      </c>
      <c r="B314" t="s">
        <v>8</v>
      </c>
      <c r="C314">
        <v>1</v>
      </c>
      <c r="D314" t="s">
        <v>10</v>
      </c>
      <c r="E314">
        <v>91</v>
      </c>
      <c r="F314">
        <v>841</v>
      </c>
      <c r="G314">
        <v>0.43</v>
      </c>
      <c r="H314">
        <v>0.1075</v>
      </c>
      <c r="K314">
        <v>0</v>
      </c>
      <c r="L314" t="s">
        <v>9</v>
      </c>
      <c r="M314" t="s">
        <v>41</v>
      </c>
      <c r="N314">
        <v>0.2025</v>
      </c>
    </row>
    <row r="315" spans="1:14">
      <c r="A315" t="s">
        <v>331</v>
      </c>
      <c r="B315" t="s">
        <v>13</v>
      </c>
      <c r="C315">
        <v>1</v>
      </c>
      <c r="D315" t="s">
        <v>10</v>
      </c>
      <c r="E315">
        <v>253</v>
      </c>
      <c r="F315">
        <v>839</v>
      </c>
      <c r="G315">
        <v>1.21</v>
      </c>
      <c r="H315">
        <v>0.3025</v>
      </c>
      <c r="K315">
        <v>0</v>
      </c>
      <c r="L315" t="s">
        <v>9</v>
      </c>
      <c r="M315" t="s">
        <v>41</v>
      </c>
      <c r="N315">
        <v>0.125</v>
      </c>
    </row>
    <row r="316" spans="1:14">
      <c r="A316" t="s">
        <v>332</v>
      </c>
      <c r="B316" t="s">
        <v>16</v>
      </c>
      <c r="C316">
        <v>1</v>
      </c>
      <c r="D316" t="s">
        <v>10</v>
      </c>
      <c r="E316">
        <v>982</v>
      </c>
      <c r="F316">
        <v>841</v>
      </c>
      <c r="G316">
        <v>4.67</v>
      </c>
      <c r="H316">
        <v>1.1675</v>
      </c>
      <c r="K316">
        <v>0</v>
      </c>
      <c r="L316" t="s">
        <v>9</v>
      </c>
      <c r="M316" t="s">
        <v>41</v>
      </c>
      <c r="N316">
        <v>0.2725</v>
      </c>
    </row>
    <row r="317" spans="1:14">
      <c r="A317" t="s">
        <v>333</v>
      </c>
      <c r="B317" t="s">
        <v>20</v>
      </c>
      <c r="C317">
        <v>1</v>
      </c>
      <c r="D317" t="s">
        <v>10</v>
      </c>
      <c r="E317">
        <v>3274</v>
      </c>
      <c r="F317">
        <v>870</v>
      </c>
      <c r="G317">
        <v>15.05</v>
      </c>
      <c r="H317">
        <v>3.7625</v>
      </c>
      <c r="K317">
        <v>0</v>
      </c>
      <c r="L317" t="s">
        <v>9</v>
      </c>
      <c r="M317" t="s">
        <v>41</v>
      </c>
      <c r="N317">
        <v>0.2325</v>
      </c>
    </row>
    <row r="318" spans="1:14">
      <c r="A318" t="s">
        <v>334</v>
      </c>
      <c r="B318" t="s">
        <v>35</v>
      </c>
      <c r="C318">
        <v>1</v>
      </c>
      <c r="D318" t="s">
        <v>10</v>
      </c>
      <c r="E318">
        <v>1186</v>
      </c>
      <c r="F318">
        <v>870</v>
      </c>
      <c r="G318">
        <v>5.45</v>
      </c>
      <c r="H318">
        <v>1.3625</v>
      </c>
      <c r="K318">
        <v>0</v>
      </c>
      <c r="L318" t="s">
        <v>9</v>
      </c>
      <c r="M318" t="s">
        <v>41</v>
      </c>
      <c r="N318">
        <v>0.3375</v>
      </c>
    </row>
    <row r="319" spans="1:14">
      <c r="A319" t="s">
        <v>335</v>
      </c>
      <c r="B319" t="s">
        <v>18</v>
      </c>
      <c r="C319">
        <v>1</v>
      </c>
      <c r="D319" t="s">
        <v>10</v>
      </c>
      <c r="E319">
        <v>972</v>
      </c>
      <c r="F319">
        <v>842</v>
      </c>
      <c r="G319">
        <v>4.62</v>
      </c>
      <c r="H319">
        <v>1.155</v>
      </c>
      <c r="K319">
        <v>1</v>
      </c>
      <c r="L319" t="s">
        <v>9</v>
      </c>
      <c r="M319" t="s">
        <v>41</v>
      </c>
      <c r="N319">
        <v>0.4225</v>
      </c>
    </row>
    <row r="320" spans="1:14">
      <c r="A320" t="s">
        <v>336</v>
      </c>
      <c r="B320" t="s">
        <v>22</v>
      </c>
      <c r="C320">
        <v>1</v>
      </c>
      <c r="D320" t="s">
        <v>10</v>
      </c>
      <c r="E320">
        <v>546</v>
      </c>
      <c r="F320">
        <v>842</v>
      </c>
      <c r="G320">
        <v>2.59</v>
      </c>
      <c r="H320">
        <v>0.6475</v>
      </c>
      <c r="K320">
        <v>1</v>
      </c>
      <c r="L320" t="s">
        <v>9</v>
      </c>
      <c r="M320" t="s">
        <v>41</v>
      </c>
      <c r="N320">
        <v>0.205</v>
      </c>
    </row>
    <row r="321" spans="1:14">
      <c r="A321" t="s">
        <v>337</v>
      </c>
      <c r="B321" t="s">
        <v>8</v>
      </c>
      <c r="C321">
        <v>1</v>
      </c>
      <c r="D321" t="s">
        <v>10</v>
      </c>
      <c r="E321">
        <v>2298</v>
      </c>
      <c r="F321">
        <v>856</v>
      </c>
      <c r="G321">
        <v>10.74</v>
      </c>
      <c r="H321">
        <v>2.685</v>
      </c>
      <c r="K321">
        <v>1</v>
      </c>
      <c r="L321" t="s">
        <v>9</v>
      </c>
      <c r="M321" t="s">
        <v>41</v>
      </c>
      <c r="N321">
        <v>0.53</v>
      </c>
    </row>
    <row r="322" spans="1:14">
      <c r="A322" t="s">
        <v>338</v>
      </c>
      <c r="B322" t="s">
        <v>41</v>
      </c>
      <c r="C322">
        <v>1</v>
      </c>
      <c r="D322" t="s">
        <v>10</v>
      </c>
      <c r="E322">
        <v>526</v>
      </c>
      <c r="F322">
        <v>851</v>
      </c>
      <c r="G322">
        <v>2.47</v>
      </c>
      <c r="H322">
        <v>0.6175</v>
      </c>
      <c r="K322">
        <v>1</v>
      </c>
      <c r="L322" t="s">
        <v>9</v>
      </c>
      <c r="M322" t="s">
        <v>41</v>
      </c>
      <c r="N322">
        <v>0.4125</v>
      </c>
    </row>
    <row r="323" spans="1:14">
      <c r="A323" t="s">
        <v>339</v>
      </c>
      <c r="B323" t="s">
        <v>13</v>
      </c>
      <c r="C323">
        <v>1</v>
      </c>
      <c r="D323" t="s">
        <v>10</v>
      </c>
      <c r="E323">
        <v>736</v>
      </c>
      <c r="F323">
        <v>860</v>
      </c>
      <c r="G323">
        <v>3.42</v>
      </c>
      <c r="H323">
        <v>0.855</v>
      </c>
      <c r="K323">
        <v>1</v>
      </c>
      <c r="L323" t="s">
        <v>9</v>
      </c>
      <c r="M323" t="s">
        <v>41</v>
      </c>
      <c r="N323">
        <v>0.4575</v>
      </c>
    </row>
    <row r="324" spans="1:14">
      <c r="A324" t="s">
        <v>340</v>
      </c>
      <c r="B324" t="s">
        <v>16</v>
      </c>
      <c r="C324">
        <v>1</v>
      </c>
      <c r="D324" t="s">
        <v>10</v>
      </c>
      <c r="E324">
        <v>1719</v>
      </c>
      <c r="F324">
        <v>870</v>
      </c>
      <c r="G324">
        <v>7.9</v>
      </c>
      <c r="H324">
        <v>1.975</v>
      </c>
      <c r="K324">
        <v>2</v>
      </c>
      <c r="L324" t="s">
        <v>9</v>
      </c>
      <c r="M324" t="s">
        <v>41</v>
      </c>
      <c r="N324">
        <v>0.4575</v>
      </c>
    </row>
    <row r="325" spans="1:14">
      <c r="A325" t="s">
        <v>341</v>
      </c>
      <c r="B325" t="s">
        <v>20</v>
      </c>
      <c r="C325">
        <v>1</v>
      </c>
      <c r="D325" t="s">
        <v>10</v>
      </c>
      <c r="E325">
        <v>733</v>
      </c>
      <c r="F325">
        <v>867</v>
      </c>
      <c r="G325">
        <v>3.38</v>
      </c>
      <c r="H325">
        <v>0.845</v>
      </c>
      <c r="K325">
        <v>2</v>
      </c>
      <c r="L325" t="s">
        <v>9</v>
      </c>
      <c r="M325" t="s">
        <v>41</v>
      </c>
      <c r="N325">
        <v>0.24</v>
      </c>
    </row>
    <row r="326" spans="1:14">
      <c r="A326" t="s">
        <v>342</v>
      </c>
      <c r="B326" t="s">
        <v>35</v>
      </c>
      <c r="C326">
        <v>1</v>
      </c>
      <c r="D326" t="s">
        <v>10</v>
      </c>
      <c r="E326">
        <v>998</v>
      </c>
      <c r="F326">
        <v>865</v>
      </c>
      <c r="G326">
        <v>4.62</v>
      </c>
      <c r="H326">
        <v>1.155</v>
      </c>
      <c r="K326">
        <v>2</v>
      </c>
      <c r="L326" t="s">
        <v>9</v>
      </c>
      <c r="M326" t="s">
        <v>41</v>
      </c>
      <c r="N326">
        <v>0.56</v>
      </c>
    </row>
    <row r="327" spans="1:14">
      <c r="A327" t="s">
        <v>343</v>
      </c>
      <c r="B327" t="s">
        <v>18</v>
      </c>
      <c r="C327">
        <v>1</v>
      </c>
      <c r="D327" t="s">
        <v>10</v>
      </c>
      <c r="E327">
        <v>2225</v>
      </c>
      <c r="F327">
        <v>870</v>
      </c>
      <c r="G327">
        <v>10.23</v>
      </c>
      <c r="H327">
        <v>2.5575</v>
      </c>
      <c r="K327">
        <v>2</v>
      </c>
      <c r="L327" t="s">
        <v>9</v>
      </c>
      <c r="M327" t="s">
        <v>41</v>
      </c>
      <c r="N327">
        <v>0.5225</v>
      </c>
    </row>
    <row r="328" spans="1:14">
      <c r="A328" t="s">
        <v>344</v>
      </c>
      <c r="B328" t="s">
        <v>22</v>
      </c>
      <c r="C328">
        <v>1</v>
      </c>
      <c r="D328" t="s">
        <v>10</v>
      </c>
      <c r="E328">
        <v>463</v>
      </c>
      <c r="F328">
        <v>863</v>
      </c>
      <c r="G328">
        <v>2.15</v>
      </c>
      <c r="H328">
        <v>0.5375</v>
      </c>
      <c r="K328">
        <v>2</v>
      </c>
      <c r="L328" t="s">
        <v>9</v>
      </c>
      <c r="M328" t="s">
        <v>41</v>
      </c>
      <c r="N328">
        <v>0.4675</v>
      </c>
    </row>
    <row r="329" spans="1:14">
      <c r="A329" t="s">
        <v>345</v>
      </c>
      <c r="B329" t="s">
        <v>41</v>
      </c>
      <c r="C329">
        <v>1</v>
      </c>
      <c r="D329" t="s">
        <v>9</v>
      </c>
      <c r="E329">
        <v>355</v>
      </c>
      <c r="F329">
        <v>841</v>
      </c>
      <c r="G329">
        <v>1.69</v>
      </c>
      <c r="H329">
        <v>0.4225</v>
      </c>
      <c r="K329">
        <v>3</v>
      </c>
      <c r="L329" t="s">
        <v>9</v>
      </c>
      <c r="M329" t="s">
        <v>41</v>
      </c>
      <c r="N329">
        <v>0.515</v>
      </c>
    </row>
    <row r="330" spans="1:14">
      <c r="A330" t="s">
        <v>346</v>
      </c>
      <c r="B330" t="s">
        <v>20</v>
      </c>
      <c r="C330">
        <v>1</v>
      </c>
      <c r="D330" t="s">
        <v>9</v>
      </c>
      <c r="E330">
        <v>4551</v>
      </c>
      <c r="F330">
        <v>870</v>
      </c>
      <c r="G330">
        <v>20.92</v>
      </c>
      <c r="H330">
        <v>5.23</v>
      </c>
      <c r="K330">
        <v>3</v>
      </c>
      <c r="L330" t="s">
        <v>9</v>
      </c>
      <c r="M330" t="s">
        <v>41</v>
      </c>
      <c r="N330">
        <v>0.2975</v>
      </c>
    </row>
    <row r="331" spans="1:14">
      <c r="A331" t="s">
        <v>347</v>
      </c>
      <c r="B331" t="s">
        <v>8</v>
      </c>
      <c r="C331">
        <v>1</v>
      </c>
      <c r="D331" t="s">
        <v>9</v>
      </c>
      <c r="E331">
        <v>1454</v>
      </c>
      <c r="F331">
        <v>841</v>
      </c>
      <c r="G331">
        <v>6.92</v>
      </c>
      <c r="H331">
        <v>1.73</v>
      </c>
      <c r="K331">
        <v>3</v>
      </c>
      <c r="L331" t="s">
        <v>9</v>
      </c>
      <c r="M331" t="s">
        <v>41</v>
      </c>
      <c r="N331">
        <v>0.83</v>
      </c>
    </row>
    <row r="332" spans="1:14">
      <c r="A332" t="s">
        <v>348</v>
      </c>
      <c r="B332" t="s">
        <v>8</v>
      </c>
      <c r="C332">
        <v>1</v>
      </c>
      <c r="D332" t="s">
        <v>9</v>
      </c>
      <c r="E332">
        <v>3718</v>
      </c>
      <c r="F332">
        <v>900</v>
      </c>
      <c r="G332">
        <v>16.52</v>
      </c>
      <c r="H332">
        <v>4.13</v>
      </c>
      <c r="K332">
        <v>3</v>
      </c>
      <c r="L332" t="s">
        <v>9</v>
      </c>
      <c r="M332" t="s">
        <v>41</v>
      </c>
      <c r="N332">
        <v>0.615</v>
      </c>
    </row>
    <row r="333" spans="1:14">
      <c r="A333" t="s">
        <v>349</v>
      </c>
      <c r="B333" t="s">
        <v>41</v>
      </c>
      <c r="C333">
        <v>1</v>
      </c>
      <c r="D333" t="s">
        <v>9</v>
      </c>
      <c r="E333">
        <v>173</v>
      </c>
      <c r="F333">
        <v>841</v>
      </c>
      <c r="G333">
        <v>0.82</v>
      </c>
      <c r="H333">
        <v>0.205</v>
      </c>
      <c r="K333">
        <v>3</v>
      </c>
      <c r="L333" t="s">
        <v>9</v>
      </c>
      <c r="M333" t="s">
        <v>41</v>
      </c>
      <c r="N333">
        <v>0.6525</v>
      </c>
    </row>
    <row r="334" spans="1:14">
      <c r="A334" t="s">
        <v>350</v>
      </c>
      <c r="B334" t="s">
        <v>13</v>
      </c>
      <c r="C334">
        <v>1</v>
      </c>
      <c r="D334" t="s">
        <v>9</v>
      </c>
      <c r="E334">
        <v>775</v>
      </c>
      <c r="F334">
        <v>863</v>
      </c>
      <c r="G334">
        <v>3.59</v>
      </c>
      <c r="H334">
        <v>0.8975</v>
      </c>
      <c r="K334">
        <v>0</v>
      </c>
      <c r="L334" t="s">
        <v>9</v>
      </c>
      <c r="M334" t="s">
        <v>8</v>
      </c>
      <c r="N334">
        <v>1.01</v>
      </c>
    </row>
    <row r="335" spans="1:14">
      <c r="A335" t="s">
        <v>351</v>
      </c>
      <c r="B335" t="s">
        <v>16</v>
      </c>
      <c r="C335">
        <v>1</v>
      </c>
      <c r="D335" t="s">
        <v>9</v>
      </c>
      <c r="E335">
        <v>683</v>
      </c>
      <c r="F335">
        <v>897</v>
      </c>
      <c r="G335">
        <v>3.05</v>
      </c>
      <c r="H335">
        <v>0.7625</v>
      </c>
      <c r="K335">
        <v>0</v>
      </c>
      <c r="L335" t="s">
        <v>9</v>
      </c>
      <c r="M335" t="s">
        <v>8</v>
      </c>
      <c r="N335">
        <v>1.0725</v>
      </c>
    </row>
    <row r="336" spans="1:14">
      <c r="A336" t="s">
        <v>352</v>
      </c>
      <c r="B336" t="s">
        <v>20</v>
      </c>
      <c r="C336">
        <v>1</v>
      </c>
      <c r="D336" t="s">
        <v>9</v>
      </c>
      <c r="E336">
        <v>3077</v>
      </c>
      <c r="F336">
        <v>863</v>
      </c>
      <c r="G336">
        <v>14.26</v>
      </c>
      <c r="H336">
        <v>3.565</v>
      </c>
      <c r="K336">
        <v>0</v>
      </c>
      <c r="L336" t="s">
        <v>9</v>
      </c>
      <c r="M336" t="s">
        <v>8</v>
      </c>
      <c r="N336">
        <v>2.71</v>
      </c>
    </row>
    <row r="337" spans="1:14">
      <c r="A337" t="s">
        <v>353</v>
      </c>
      <c r="B337" t="s">
        <v>35</v>
      </c>
      <c r="C337">
        <v>1</v>
      </c>
      <c r="D337" t="s">
        <v>9</v>
      </c>
      <c r="E337">
        <v>2723</v>
      </c>
      <c r="F337">
        <v>870</v>
      </c>
      <c r="G337">
        <v>12.52</v>
      </c>
      <c r="H337">
        <v>3.13</v>
      </c>
      <c r="K337">
        <v>0</v>
      </c>
      <c r="L337" t="s">
        <v>9</v>
      </c>
      <c r="M337" t="s">
        <v>8</v>
      </c>
      <c r="N337">
        <v>0.715</v>
      </c>
    </row>
    <row r="338" spans="1:14">
      <c r="A338" t="s">
        <v>354</v>
      </c>
      <c r="B338" t="s">
        <v>18</v>
      </c>
      <c r="C338">
        <v>1</v>
      </c>
      <c r="D338" t="s">
        <v>9</v>
      </c>
      <c r="E338">
        <v>1550</v>
      </c>
      <c r="F338">
        <v>841</v>
      </c>
      <c r="G338">
        <v>7.37</v>
      </c>
      <c r="H338">
        <v>1.8425</v>
      </c>
      <c r="K338">
        <v>0</v>
      </c>
      <c r="L338" t="s">
        <v>9</v>
      </c>
      <c r="M338" t="s">
        <v>8</v>
      </c>
      <c r="N338">
        <v>0.6025</v>
      </c>
    </row>
    <row r="339" spans="1:14">
      <c r="A339" t="s">
        <v>355</v>
      </c>
      <c r="B339" t="s">
        <v>22</v>
      </c>
      <c r="C339">
        <v>1</v>
      </c>
      <c r="D339" t="s">
        <v>9</v>
      </c>
      <c r="E339">
        <v>477</v>
      </c>
      <c r="F339">
        <v>841</v>
      </c>
      <c r="G339">
        <v>2.27</v>
      </c>
      <c r="H339">
        <v>0.5675</v>
      </c>
      <c r="K339">
        <v>0</v>
      </c>
      <c r="L339" t="s">
        <v>9</v>
      </c>
      <c r="M339" t="s">
        <v>8</v>
      </c>
      <c r="N339">
        <v>0.805</v>
      </c>
    </row>
    <row r="340" spans="1:14">
      <c r="A340" t="s">
        <v>356</v>
      </c>
      <c r="B340" t="s">
        <v>8</v>
      </c>
      <c r="C340">
        <v>1</v>
      </c>
      <c r="D340" t="s">
        <v>9</v>
      </c>
      <c r="E340">
        <v>922</v>
      </c>
      <c r="F340">
        <v>841</v>
      </c>
      <c r="G340">
        <v>4.39</v>
      </c>
      <c r="H340">
        <v>1.0975</v>
      </c>
      <c r="K340">
        <v>1</v>
      </c>
      <c r="L340" t="s">
        <v>9</v>
      </c>
      <c r="M340" t="s">
        <v>8</v>
      </c>
      <c r="N340">
        <v>1.825</v>
      </c>
    </row>
    <row r="341" spans="1:14">
      <c r="A341" t="s">
        <v>357</v>
      </c>
      <c r="B341" t="s">
        <v>41</v>
      </c>
      <c r="C341">
        <v>1</v>
      </c>
      <c r="D341" t="s">
        <v>9</v>
      </c>
      <c r="E341">
        <v>445</v>
      </c>
      <c r="F341">
        <v>841</v>
      </c>
      <c r="G341">
        <v>2.12</v>
      </c>
      <c r="H341">
        <v>0.53</v>
      </c>
      <c r="K341">
        <v>1</v>
      </c>
      <c r="L341" t="s">
        <v>9</v>
      </c>
      <c r="M341" t="s">
        <v>8</v>
      </c>
      <c r="N341">
        <v>1.73</v>
      </c>
    </row>
    <row r="342" spans="1:14">
      <c r="A342" t="s">
        <v>358</v>
      </c>
      <c r="B342" t="s">
        <v>13</v>
      </c>
      <c r="C342">
        <v>1</v>
      </c>
      <c r="D342" t="s">
        <v>9</v>
      </c>
      <c r="E342">
        <v>2525</v>
      </c>
      <c r="F342">
        <v>857</v>
      </c>
      <c r="G342">
        <v>11.79</v>
      </c>
      <c r="H342">
        <v>2.9475</v>
      </c>
      <c r="K342">
        <v>1</v>
      </c>
      <c r="L342" t="s">
        <v>9</v>
      </c>
      <c r="M342" t="s">
        <v>8</v>
      </c>
      <c r="N342">
        <v>4.13</v>
      </c>
    </row>
    <row r="343" spans="1:14">
      <c r="A343" t="s">
        <v>359</v>
      </c>
      <c r="B343" t="s">
        <v>16</v>
      </c>
      <c r="C343">
        <v>1</v>
      </c>
      <c r="D343" t="s">
        <v>9</v>
      </c>
      <c r="E343">
        <v>2332</v>
      </c>
      <c r="F343">
        <v>868</v>
      </c>
      <c r="G343">
        <v>10.75</v>
      </c>
      <c r="H343">
        <v>2.6875</v>
      </c>
      <c r="K343">
        <v>1</v>
      </c>
      <c r="L343" t="s">
        <v>9</v>
      </c>
      <c r="M343" t="s">
        <v>8</v>
      </c>
      <c r="N343">
        <v>1.0975</v>
      </c>
    </row>
    <row r="344" spans="1:14">
      <c r="A344" t="s">
        <v>360</v>
      </c>
      <c r="B344" t="s">
        <v>20</v>
      </c>
      <c r="C344">
        <v>1</v>
      </c>
      <c r="D344" t="s">
        <v>9</v>
      </c>
      <c r="E344">
        <v>1519</v>
      </c>
      <c r="F344">
        <v>858</v>
      </c>
      <c r="G344">
        <v>7.08</v>
      </c>
      <c r="H344">
        <v>1.77</v>
      </c>
      <c r="K344">
        <v>1</v>
      </c>
      <c r="L344" t="s">
        <v>9</v>
      </c>
      <c r="M344" t="s">
        <v>8</v>
      </c>
      <c r="N344">
        <v>1.13</v>
      </c>
    </row>
    <row r="345" spans="1:14">
      <c r="A345" t="s">
        <v>361</v>
      </c>
      <c r="B345" t="s">
        <v>35</v>
      </c>
      <c r="C345">
        <v>1</v>
      </c>
      <c r="D345" t="s">
        <v>9</v>
      </c>
      <c r="E345">
        <v>669</v>
      </c>
      <c r="F345">
        <v>866</v>
      </c>
      <c r="G345">
        <v>3.09</v>
      </c>
      <c r="H345">
        <v>0.7725</v>
      </c>
      <c r="K345">
        <v>1</v>
      </c>
      <c r="L345" t="s">
        <v>9</v>
      </c>
      <c r="M345" t="s">
        <v>8</v>
      </c>
      <c r="N345">
        <v>1.225</v>
      </c>
    </row>
    <row r="346" spans="1:14">
      <c r="A346" t="s">
        <v>362</v>
      </c>
      <c r="B346" t="s">
        <v>18</v>
      </c>
      <c r="C346">
        <v>1</v>
      </c>
      <c r="D346" t="s">
        <v>9</v>
      </c>
      <c r="E346">
        <v>469</v>
      </c>
      <c r="F346">
        <v>868</v>
      </c>
      <c r="G346">
        <v>2.16</v>
      </c>
      <c r="H346">
        <v>0.54</v>
      </c>
      <c r="K346">
        <v>2</v>
      </c>
      <c r="L346" t="s">
        <v>9</v>
      </c>
      <c r="M346" t="s">
        <v>8</v>
      </c>
      <c r="N346">
        <v>2.0525</v>
      </c>
    </row>
    <row r="347" spans="1:14">
      <c r="A347" t="s">
        <v>363</v>
      </c>
      <c r="B347" t="s">
        <v>22</v>
      </c>
      <c r="C347">
        <v>1</v>
      </c>
      <c r="D347" t="s">
        <v>9</v>
      </c>
      <c r="E347">
        <v>1139</v>
      </c>
      <c r="F347">
        <v>864</v>
      </c>
      <c r="G347">
        <v>5.27</v>
      </c>
      <c r="H347">
        <v>1.3175</v>
      </c>
      <c r="K347">
        <v>2</v>
      </c>
      <c r="L347" t="s">
        <v>9</v>
      </c>
      <c r="M347" t="s">
        <v>8</v>
      </c>
      <c r="N347">
        <v>2.3925</v>
      </c>
    </row>
    <row r="348" spans="1:14">
      <c r="A348" t="s">
        <v>364</v>
      </c>
      <c r="B348" t="s">
        <v>8</v>
      </c>
      <c r="C348">
        <v>1</v>
      </c>
      <c r="D348" t="s">
        <v>9</v>
      </c>
      <c r="E348">
        <v>950</v>
      </c>
      <c r="F348">
        <v>841</v>
      </c>
      <c r="G348">
        <v>4.52</v>
      </c>
      <c r="H348">
        <v>1.13</v>
      </c>
      <c r="K348">
        <v>2</v>
      </c>
      <c r="L348" t="s">
        <v>9</v>
      </c>
      <c r="M348" t="s">
        <v>8</v>
      </c>
      <c r="N348">
        <v>5.31</v>
      </c>
    </row>
    <row r="349" spans="1:14">
      <c r="A349" t="s">
        <v>365</v>
      </c>
      <c r="B349" t="s">
        <v>41</v>
      </c>
      <c r="C349">
        <v>1</v>
      </c>
      <c r="D349" t="s">
        <v>9</v>
      </c>
      <c r="E349">
        <v>347</v>
      </c>
      <c r="F349">
        <v>841</v>
      </c>
      <c r="G349">
        <v>1.65</v>
      </c>
      <c r="H349">
        <v>0.4125</v>
      </c>
      <c r="K349">
        <v>2</v>
      </c>
      <c r="L349" t="s">
        <v>9</v>
      </c>
      <c r="M349" t="s">
        <v>8</v>
      </c>
      <c r="N349">
        <v>1.22</v>
      </c>
    </row>
    <row r="350" spans="1:14">
      <c r="A350" t="s">
        <v>366</v>
      </c>
      <c r="B350" t="s">
        <v>13</v>
      </c>
      <c r="C350">
        <v>1</v>
      </c>
      <c r="D350" t="s">
        <v>9</v>
      </c>
      <c r="E350">
        <v>600</v>
      </c>
      <c r="F350">
        <v>870</v>
      </c>
      <c r="G350">
        <v>2.76</v>
      </c>
      <c r="H350">
        <v>0.69</v>
      </c>
      <c r="K350">
        <v>2</v>
      </c>
      <c r="L350" t="s">
        <v>9</v>
      </c>
      <c r="M350" t="s">
        <v>8</v>
      </c>
      <c r="N350">
        <v>1.4575</v>
      </c>
    </row>
    <row r="351" spans="1:14">
      <c r="A351" t="s">
        <v>367</v>
      </c>
      <c r="B351" t="s">
        <v>16</v>
      </c>
      <c r="C351">
        <v>1</v>
      </c>
      <c r="D351" t="s">
        <v>9</v>
      </c>
      <c r="E351">
        <v>507</v>
      </c>
      <c r="F351">
        <v>866</v>
      </c>
      <c r="G351">
        <v>2.34</v>
      </c>
      <c r="H351">
        <v>0.585</v>
      </c>
      <c r="K351">
        <v>2</v>
      </c>
      <c r="L351" t="s">
        <v>9</v>
      </c>
      <c r="M351" t="s">
        <v>8</v>
      </c>
      <c r="N351">
        <v>1.4375</v>
      </c>
    </row>
    <row r="352" spans="1:14">
      <c r="A352" t="s">
        <v>368</v>
      </c>
      <c r="B352" t="s">
        <v>20</v>
      </c>
      <c r="C352">
        <v>1</v>
      </c>
      <c r="D352" t="s">
        <v>9</v>
      </c>
      <c r="E352">
        <v>1757</v>
      </c>
      <c r="F352">
        <v>867</v>
      </c>
      <c r="G352">
        <v>8.11</v>
      </c>
      <c r="H352">
        <v>2.0275</v>
      </c>
      <c r="K352">
        <v>3</v>
      </c>
      <c r="L352" t="s">
        <v>9</v>
      </c>
      <c r="M352" t="s">
        <v>8</v>
      </c>
      <c r="N352">
        <v>2.685</v>
      </c>
    </row>
    <row r="353" spans="1:14">
      <c r="A353" t="s">
        <v>369</v>
      </c>
      <c r="B353" t="s">
        <v>35</v>
      </c>
      <c r="C353">
        <v>1</v>
      </c>
      <c r="D353" t="s">
        <v>9</v>
      </c>
      <c r="E353">
        <v>1311</v>
      </c>
      <c r="F353">
        <v>858</v>
      </c>
      <c r="G353">
        <v>6.11</v>
      </c>
      <c r="H353">
        <v>1.5275</v>
      </c>
      <c r="K353">
        <v>3</v>
      </c>
      <c r="L353" t="s">
        <v>9</v>
      </c>
      <c r="M353" t="s">
        <v>8</v>
      </c>
      <c r="N353">
        <v>3.075</v>
      </c>
    </row>
    <row r="354" spans="1:14">
      <c r="A354" t="s">
        <v>370</v>
      </c>
      <c r="B354" t="s">
        <v>18</v>
      </c>
      <c r="C354">
        <v>1</v>
      </c>
      <c r="D354" t="s">
        <v>9</v>
      </c>
      <c r="E354">
        <v>1320</v>
      </c>
      <c r="F354">
        <v>891</v>
      </c>
      <c r="G354">
        <v>5.93</v>
      </c>
      <c r="H354">
        <v>1.4825</v>
      </c>
      <c r="K354">
        <v>3</v>
      </c>
      <c r="L354" t="s">
        <v>9</v>
      </c>
      <c r="M354" t="s">
        <v>8</v>
      </c>
      <c r="N354">
        <v>6.155</v>
      </c>
    </row>
    <row r="355" spans="1:14">
      <c r="A355" t="s">
        <v>371</v>
      </c>
      <c r="B355" t="s">
        <v>22</v>
      </c>
      <c r="C355">
        <v>1</v>
      </c>
      <c r="D355" t="s">
        <v>9</v>
      </c>
      <c r="E355">
        <v>712</v>
      </c>
      <c r="F355">
        <v>841</v>
      </c>
      <c r="G355">
        <v>3.39</v>
      </c>
      <c r="H355">
        <v>0.8475</v>
      </c>
      <c r="K355">
        <v>3</v>
      </c>
      <c r="L355" t="s">
        <v>9</v>
      </c>
      <c r="M355" t="s">
        <v>8</v>
      </c>
      <c r="N355">
        <v>1.65</v>
      </c>
    </row>
    <row r="356" spans="1:14">
      <c r="A356" t="s">
        <v>372</v>
      </c>
      <c r="B356" t="s">
        <v>8</v>
      </c>
      <c r="C356">
        <v>1</v>
      </c>
      <c r="D356" t="s">
        <v>9</v>
      </c>
      <c r="E356">
        <v>1060</v>
      </c>
      <c r="F356">
        <v>866</v>
      </c>
      <c r="G356">
        <v>4.9</v>
      </c>
      <c r="H356">
        <v>1.225</v>
      </c>
      <c r="K356">
        <v>3</v>
      </c>
      <c r="L356" t="s">
        <v>9</v>
      </c>
      <c r="M356" t="s">
        <v>8</v>
      </c>
      <c r="N356">
        <v>1.95</v>
      </c>
    </row>
    <row r="357" spans="1:14">
      <c r="A357" t="s">
        <v>373</v>
      </c>
      <c r="B357" t="s">
        <v>41</v>
      </c>
      <c r="C357">
        <v>1</v>
      </c>
      <c r="D357" t="s">
        <v>9</v>
      </c>
      <c r="E357">
        <v>394</v>
      </c>
      <c r="F357">
        <v>862</v>
      </c>
      <c r="G357">
        <v>1.83</v>
      </c>
      <c r="H357">
        <v>0.4575</v>
      </c>
      <c r="K357">
        <v>3</v>
      </c>
      <c r="L357" t="s">
        <v>9</v>
      </c>
      <c r="M357" t="s">
        <v>8</v>
      </c>
      <c r="N357">
        <v>2.1175</v>
      </c>
    </row>
    <row r="358" spans="1:14">
      <c r="A358" t="s">
        <v>374</v>
      </c>
      <c r="B358" t="s">
        <v>13</v>
      </c>
      <c r="C358">
        <v>1</v>
      </c>
      <c r="D358" t="s">
        <v>9</v>
      </c>
      <c r="E358">
        <v>4237</v>
      </c>
      <c r="F358">
        <v>865</v>
      </c>
      <c r="G358">
        <v>19.59</v>
      </c>
      <c r="H358">
        <v>4.8975</v>
      </c>
      <c r="K358">
        <v>0</v>
      </c>
      <c r="L358" t="s">
        <v>9</v>
      </c>
      <c r="M358" t="s">
        <v>22</v>
      </c>
      <c r="N358">
        <v>0.1475</v>
      </c>
    </row>
    <row r="359" spans="1:14">
      <c r="A359" t="s">
        <v>375</v>
      </c>
      <c r="B359" t="s">
        <v>16</v>
      </c>
      <c r="C359">
        <v>1</v>
      </c>
      <c r="D359" t="s">
        <v>9</v>
      </c>
      <c r="E359">
        <v>970</v>
      </c>
      <c r="F359">
        <v>870</v>
      </c>
      <c r="G359">
        <v>4.46</v>
      </c>
      <c r="H359">
        <v>1.115</v>
      </c>
      <c r="K359">
        <v>0</v>
      </c>
      <c r="L359" t="s">
        <v>9</v>
      </c>
      <c r="M359" t="s">
        <v>22</v>
      </c>
      <c r="N359">
        <v>0.335</v>
      </c>
    </row>
    <row r="360" spans="1:14">
      <c r="A360" t="s">
        <v>376</v>
      </c>
      <c r="B360" t="s">
        <v>20</v>
      </c>
      <c r="C360">
        <v>1</v>
      </c>
      <c r="D360" t="s">
        <v>9</v>
      </c>
      <c r="E360">
        <v>4952</v>
      </c>
      <c r="F360">
        <v>868</v>
      </c>
      <c r="G360">
        <v>22.82</v>
      </c>
      <c r="H360">
        <v>5.705</v>
      </c>
      <c r="K360">
        <v>0</v>
      </c>
      <c r="L360" t="s">
        <v>9</v>
      </c>
      <c r="M360" t="s">
        <v>22</v>
      </c>
      <c r="N360">
        <v>0.585</v>
      </c>
    </row>
    <row r="361" spans="1:14">
      <c r="A361" t="s">
        <v>377</v>
      </c>
      <c r="B361" t="s">
        <v>35</v>
      </c>
      <c r="C361">
        <v>1</v>
      </c>
      <c r="D361" t="s">
        <v>9</v>
      </c>
      <c r="E361">
        <v>546</v>
      </c>
      <c r="F361">
        <v>841</v>
      </c>
      <c r="G361">
        <v>2.6</v>
      </c>
      <c r="H361">
        <v>0.65</v>
      </c>
      <c r="K361">
        <v>0</v>
      </c>
      <c r="L361" t="s">
        <v>9</v>
      </c>
      <c r="M361" t="s">
        <v>22</v>
      </c>
      <c r="N361">
        <v>0.4825</v>
      </c>
    </row>
    <row r="362" spans="1:14">
      <c r="A362" t="s">
        <v>378</v>
      </c>
      <c r="B362" t="s">
        <v>18</v>
      </c>
      <c r="C362">
        <v>1</v>
      </c>
      <c r="D362" t="s">
        <v>9</v>
      </c>
      <c r="E362">
        <v>958</v>
      </c>
      <c r="F362">
        <v>841</v>
      </c>
      <c r="G362">
        <v>4.56</v>
      </c>
      <c r="H362">
        <v>1.14</v>
      </c>
      <c r="K362">
        <v>0</v>
      </c>
      <c r="L362" t="s">
        <v>9</v>
      </c>
      <c r="M362" t="s">
        <v>22</v>
      </c>
      <c r="N362">
        <v>0.195</v>
      </c>
    </row>
    <row r="363" spans="1:14">
      <c r="A363" t="s">
        <v>379</v>
      </c>
      <c r="B363" t="s">
        <v>22</v>
      </c>
      <c r="C363">
        <v>1</v>
      </c>
      <c r="D363" t="s">
        <v>9</v>
      </c>
      <c r="E363">
        <v>284</v>
      </c>
      <c r="F363">
        <v>841</v>
      </c>
      <c r="G363">
        <v>1.35</v>
      </c>
      <c r="H363">
        <v>0.3375</v>
      </c>
      <c r="K363">
        <v>1</v>
      </c>
      <c r="L363" t="s">
        <v>9</v>
      </c>
      <c r="M363" t="s">
        <v>22</v>
      </c>
      <c r="N363">
        <v>0.2225</v>
      </c>
    </row>
    <row r="364" spans="1:14">
      <c r="A364" t="s">
        <v>380</v>
      </c>
      <c r="B364" t="s">
        <v>20</v>
      </c>
      <c r="C364">
        <v>0</v>
      </c>
      <c r="D364" t="s">
        <v>9</v>
      </c>
      <c r="E364">
        <v>2703</v>
      </c>
      <c r="F364">
        <v>899</v>
      </c>
      <c r="G364">
        <v>12.03</v>
      </c>
      <c r="H364">
        <v>3.0075</v>
      </c>
      <c r="K364">
        <v>1</v>
      </c>
      <c r="L364" t="s">
        <v>9</v>
      </c>
      <c r="M364" t="s">
        <v>22</v>
      </c>
      <c r="N364">
        <v>0.5675</v>
      </c>
    </row>
    <row r="365" spans="1:14">
      <c r="A365" t="s">
        <v>381</v>
      </c>
      <c r="B365" t="s">
        <v>35</v>
      </c>
      <c r="C365">
        <v>0</v>
      </c>
      <c r="D365" t="s">
        <v>9</v>
      </c>
      <c r="E365">
        <v>957</v>
      </c>
      <c r="F365">
        <v>867</v>
      </c>
      <c r="G365">
        <v>4.42</v>
      </c>
      <c r="H365">
        <v>1.105</v>
      </c>
      <c r="K365">
        <v>1</v>
      </c>
      <c r="L365" t="s">
        <v>9</v>
      </c>
      <c r="M365" t="s">
        <v>22</v>
      </c>
      <c r="N365">
        <v>1.3175</v>
      </c>
    </row>
    <row r="366" spans="1:14">
      <c r="A366" t="s">
        <v>382</v>
      </c>
      <c r="B366" t="s">
        <v>18</v>
      </c>
      <c r="C366">
        <v>0</v>
      </c>
      <c r="D366" t="s">
        <v>19</v>
      </c>
      <c r="E366">
        <v>623</v>
      </c>
      <c r="F366">
        <v>841</v>
      </c>
      <c r="G366">
        <v>2.96</v>
      </c>
      <c r="H366">
        <v>0.74</v>
      </c>
      <c r="K366">
        <v>1</v>
      </c>
      <c r="L366" t="s">
        <v>9</v>
      </c>
      <c r="M366" t="s">
        <v>22</v>
      </c>
      <c r="N366">
        <v>0.8475</v>
      </c>
    </row>
    <row r="367" spans="1:14">
      <c r="A367" t="s">
        <v>383</v>
      </c>
      <c r="B367" t="s">
        <v>41</v>
      </c>
      <c r="C367">
        <v>0</v>
      </c>
      <c r="D367" t="s">
        <v>19</v>
      </c>
      <c r="E367">
        <v>231</v>
      </c>
      <c r="F367">
        <v>841</v>
      </c>
      <c r="G367">
        <v>1.1</v>
      </c>
      <c r="H367">
        <v>0.275</v>
      </c>
      <c r="K367">
        <v>1</v>
      </c>
      <c r="L367" t="s">
        <v>9</v>
      </c>
      <c r="M367" t="s">
        <v>22</v>
      </c>
      <c r="N367">
        <v>0.3375</v>
      </c>
    </row>
    <row r="368" spans="1:14">
      <c r="A368" t="s">
        <v>384</v>
      </c>
      <c r="B368" t="s">
        <v>13</v>
      </c>
      <c r="C368">
        <v>0</v>
      </c>
      <c r="D368" t="s">
        <v>19</v>
      </c>
      <c r="E368">
        <v>736</v>
      </c>
      <c r="F368">
        <v>841</v>
      </c>
      <c r="G368">
        <v>3.5</v>
      </c>
      <c r="H368">
        <v>0.875</v>
      </c>
      <c r="K368">
        <v>2</v>
      </c>
      <c r="L368" t="s">
        <v>9</v>
      </c>
      <c r="M368" t="s">
        <v>22</v>
      </c>
      <c r="N368">
        <v>0.26</v>
      </c>
    </row>
    <row r="369" spans="1:14">
      <c r="A369" t="s">
        <v>385</v>
      </c>
      <c r="B369" t="s">
        <v>20</v>
      </c>
      <c r="C369">
        <v>0</v>
      </c>
      <c r="D369" t="s">
        <v>19</v>
      </c>
      <c r="E369">
        <v>1056</v>
      </c>
      <c r="F369">
        <v>870</v>
      </c>
      <c r="G369">
        <v>4.86</v>
      </c>
      <c r="H369">
        <v>1.215</v>
      </c>
      <c r="K369">
        <v>2</v>
      </c>
      <c r="L369" t="s">
        <v>9</v>
      </c>
      <c r="M369" t="s">
        <v>22</v>
      </c>
      <c r="N369">
        <v>0.77</v>
      </c>
    </row>
    <row r="370" spans="1:14">
      <c r="A370" t="s">
        <v>386</v>
      </c>
      <c r="B370" t="s">
        <v>35</v>
      </c>
      <c r="C370">
        <v>0</v>
      </c>
      <c r="D370" t="s">
        <v>19</v>
      </c>
      <c r="E370">
        <v>462</v>
      </c>
      <c r="F370">
        <v>894</v>
      </c>
      <c r="G370">
        <v>2.07</v>
      </c>
      <c r="H370">
        <v>0.5175</v>
      </c>
      <c r="K370">
        <v>2</v>
      </c>
      <c r="L370" t="s">
        <v>9</v>
      </c>
      <c r="M370" t="s">
        <v>22</v>
      </c>
      <c r="N370">
        <v>1.59</v>
      </c>
    </row>
    <row r="371" spans="1:14">
      <c r="A371" t="s">
        <v>387</v>
      </c>
      <c r="B371" t="s">
        <v>22</v>
      </c>
      <c r="C371">
        <v>0</v>
      </c>
      <c r="D371" t="s">
        <v>19</v>
      </c>
      <c r="E371">
        <v>520</v>
      </c>
      <c r="F371">
        <v>842</v>
      </c>
      <c r="G371">
        <v>2.47</v>
      </c>
      <c r="H371">
        <v>0.6175</v>
      </c>
      <c r="K371">
        <v>2</v>
      </c>
      <c r="L371" t="s">
        <v>9</v>
      </c>
      <c r="M371" t="s">
        <v>22</v>
      </c>
      <c r="N371">
        <v>1.115</v>
      </c>
    </row>
    <row r="372" spans="1:14">
      <c r="A372" t="s">
        <v>388</v>
      </c>
      <c r="B372" t="s">
        <v>8</v>
      </c>
      <c r="C372">
        <v>0</v>
      </c>
      <c r="D372" t="s">
        <v>19</v>
      </c>
      <c r="E372">
        <v>930</v>
      </c>
      <c r="F372">
        <v>869</v>
      </c>
      <c r="G372">
        <v>4.28</v>
      </c>
      <c r="H372">
        <v>1.07</v>
      </c>
      <c r="K372">
        <v>2</v>
      </c>
      <c r="L372" t="s">
        <v>9</v>
      </c>
      <c r="M372" t="s">
        <v>22</v>
      </c>
      <c r="N372">
        <v>0.3725</v>
      </c>
    </row>
    <row r="373" spans="1:14">
      <c r="A373" t="s">
        <v>389</v>
      </c>
      <c r="B373" t="s">
        <v>41</v>
      </c>
      <c r="C373">
        <v>0</v>
      </c>
      <c r="D373" t="s">
        <v>19</v>
      </c>
      <c r="E373">
        <v>85</v>
      </c>
      <c r="F373">
        <v>868</v>
      </c>
      <c r="G373">
        <v>0.39</v>
      </c>
      <c r="H373">
        <v>0.0975</v>
      </c>
      <c r="K373">
        <v>3</v>
      </c>
      <c r="L373" t="s">
        <v>9</v>
      </c>
      <c r="M373" t="s">
        <v>22</v>
      </c>
      <c r="N373">
        <v>0.4125</v>
      </c>
    </row>
    <row r="374" spans="1:14">
      <c r="A374" t="s">
        <v>390</v>
      </c>
      <c r="B374" t="s">
        <v>13</v>
      </c>
      <c r="C374">
        <v>0</v>
      </c>
      <c r="D374" t="s">
        <v>19</v>
      </c>
      <c r="E374">
        <v>622</v>
      </c>
      <c r="F374">
        <v>870</v>
      </c>
      <c r="G374">
        <v>2.86</v>
      </c>
      <c r="H374">
        <v>0.715</v>
      </c>
      <c r="K374">
        <v>3</v>
      </c>
      <c r="L374" t="s">
        <v>9</v>
      </c>
      <c r="M374" t="s">
        <v>22</v>
      </c>
      <c r="N374">
        <v>1.0875</v>
      </c>
    </row>
    <row r="375" spans="1:14">
      <c r="A375" t="s">
        <v>391</v>
      </c>
      <c r="B375" t="s">
        <v>16</v>
      </c>
      <c r="C375">
        <v>0</v>
      </c>
      <c r="D375" t="s">
        <v>19</v>
      </c>
      <c r="E375">
        <v>740</v>
      </c>
      <c r="F375">
        <v>868</v>
      </c>
      <c r="G375">
        <v>3.41</v>
      </c>
      <c r="H375">
        <v>0.8525</v>
      </c>
      <c r="K375">
        <v>3</v>
      </c>
      <c r="L375" t="s">
        <v>9</v>
      </c>
      <c r="M375" t="s">
        <v>22</v>
      </c>
      <c r="N375">
        <v>2.38</v>
      </c>
    </row>
    <row r="376" spans="1:14">
      <c r="A376" t="s">
        <v>392</v>
      </c>
      <c r="B376" t="s">
        <v>20</v>
      </c>
      <c r="C376">
        <v>0</v>
      </c>
      <c r="D376" t="s">
        <v>19</v>
      </c>
      <c r="E376">
        <v>1531</v>
      </c>
      <c r="F376">
        <v>868</v>
      </c>
      <c r="G376">
        <v>7.06</v>
      </c>
      <c r="H376">
        <v>1.765</v>
      </c>
      <c r="K376">
        <v>3</v>
      </c>
      <c r="L376" t="s">
        <v>9</v>
      </c>
      <c r="M376" t="s">
        <v>22</v>
      </c>
      <c r="N376">
        <v>1.59</v>
      </c>
    </row>
    <row r="377" spans="1:14">
      <c r="A377" t="s">
        <v>393</v>
      </c>
      <c r="B377" t="s">
        <v>35</v>
      </c>
      <c r="C377">
        <v>0</v>
      </c>
      <c r="D377" t="s">
        <v>19</v>
      </c>
      <c r="E377">
        <v>708</v>
      </c>
      <c r="F377">
        <v>868</v>
      </c>
      <c r="G377">
        <v>3.26</v>
      </c>
      <c r="H377">
        <v>0.815</v>
      </c>
      <c r="K377">
        <v>3</v>
      </c>
      <c r="L377" t="s">
        <v>9</v>
      </c>
      <c r="M377" t="s">
        <v>22</v>
      </c>
      <c r="N377">
        <v>0.5575</v>
      </c>
    </row>
    <row r="378" spans="1:14">
      <c r="A378" t="s">
        <v>394</v>
      </c>
      <c r="B378" t="s">
        <v>18</v>
      </c>
      <c r="C378">
        <v>0</v>
      </c>
      <c r="D378" t="s">
        <v>19</v>
      </c>
      <c r="E378">
        <v>366</v>
      </c>
      <c r="F378">
        <v>841</v>
      </c>
      <c r="G378">
        <v>1.74</v>
      </c>
      <c r="H378">
        <v>0.435</v>
      </c>
      <c r="K378">
        <v>0</v>
      </c>
      <c r="L378" t="s">
        <v>9</v>
      </c>
      <c r="M378" t="s">
        <v>13</v>
      </c>
      <c r="N378">
        <v>0.1775</v>
      </c>
    </row>
    <row r="379" spans="1:14">
      <c r="A379" t="s">
        <v>395</v>
      </c>
      <c r="B379" t="s">
        <v>22</v>
      </c>
      <c r="C379">
        <v>0</v>
      </c>
      <c r="D379" t="s">
        <v>19</v>
      </c>
      <c r="E379">
        <v>582</v>
      </c>
      <c r="F379">
        <v>869</v>
      </c>
      <c r="G379">
        <v>2.68</v>
      </c>
      <c r="H379">
        <v>0.67</v>
      </c>
      <c r="K379">
        <v>0</v>
      </c>
      <c r="L379" t="s">
        <v>9</v>
      </c>
      <c r="M379" t="s">
        <v>13</v>
      </c>
      <c r="N379">
        <v>0.4275</v>
      </c>
    </row>
    <row r="380" spans="1:14">
      <c r="A380" t="s">
        <v>396</v>
      </c>
      <c r="B380" t="s">
        <v>8</v>
      </c>
      <c r="C380">
        <v>0</v>
      </c>
      <c r="D380" t="s">
        <v>19</v>
      </c>
      <c r="E380">
        <v>1180</v>
      </c>
      <c r="F380">
        <v>866</v>
      </c>
      <c r="G380">
        <v>5.45</v>
      </c>
      <c r="H380">
        <v>1.3625</v>
      </c>
      <c r="K380">
        <v>0</v>
      </c>
      <c r="L380" t="s">
        <v>9</v>
      </c>
      <c r="M380" t="s">
        <v>13</v>
      </c>
      <c r="N380">
        <v>1.735</v>
      </c>
    </row>
    <row r="381" spans="1:14">
      <c r="A381" t="s">
        <v>397</v>
      </c>
      <c r="B381" t="s">
        <v>41</v>
      </c>
      <c r="C381">
        <v>0</v>
      </c>
      <c r="D381" t="s">
        <v>19</v>
      </c>
      <c r="E381">
        <v>110</v>
      </c>
      <c r="F381">
        <v>841</v>
      </c>
      <c r="G381">
        <v>0.52</v>
      </c>
      <c r="H381">
        <v>0.13</v>
      </c>
      <c r="K381">
        <v>0</v>
      </c>
      <c r="L381" t="s">
        <v>9</v>
      </c>
      <c r="M381" t="s">
        <v>13</v>
      </c>
      <c r="N381">
        <v>0.35</v>
      </c>
    </row>
    <row r="382" spans="1:14">
      <c r="A382" t="s">
        <v>398</v>
      </c>
      <c r="B382" t="s">
        <v>13</v>
      </c>
      <c r="C382">
        <v>0</v>
      </c>
      <c r="D382" t="s">
        <v>19</v>
      </c>
      <c r="E382">
        <v>410</v>
      </c>
      <c r="F382">
        <v>870</v>
      </c>
      <c r="G382">
        <v>1.89</v>
      </c>
      <c r="H382">
        <v>0.4725</v>
      </c>
      <c r="K382">
        <v>0</v>
      </c>
      <c r="L382" t="s">
        <v>9</v>
      </c>
      <c r="M382" t="s">
        <v>13</v>
      </c>
      <c r="N382">
        <v>2.6325</v>
      </c>
    </row>
    <row r="383" spans="1:14">
      <c r="A383" t="s">
        <v>399</v>
      </c>
      <c r="B383" t="s">
        <v>16</v>
      </c>
      <c r="C383">
        <v>0</v>
      </c>
      <c r="D383" t="s">
        <v>19</v>
      </c>
      <c r="E383">
        <v>1124</v>
      </c>
      <c r="F383">
        <v>844</v>
      </c>
      <c r="G383">
        <v>5.33</v>
      </c>
      <c r="H383">
        <v>1.3325</v>
      </c>
      <c r="K383">
        <v>1</v>
      </c>
      <c r="L383" t="s">
        <v>9</v>
      </c>
      <c r="M383" t="s">
        <v>13</v>
      </c>
      <c r="N383">
        <v>0.38</v>
      </c>
    </row>
    <row r="384" spans="1:14">
      <c r="A384" t="s">
        <v>400</v>
      </c>
      <c r="B384" t="s">
        <v>20</v>
      </c>
      <c r="C384">
        <v>0</v>
      </c>
      <c r="D384" t="s">
        <v>19</v>
      </c>
      <c r="E384">
        <v>1191</v>
      </c>
      <c r="F384">
        <v>869</v>
      </c>
      <c r="G384">
        <v>5.48</v>
      </c>
      <c r="H384">
        <v>1.37</v>
      </c>
      <c r="K384">
        <v>1</v>
      </c>
      <c r="L384" t="s">
        <v>9</v>
      </c>
      <c r="M384" t="s">
        <v>13</v>
      </c>
      <c r="N384">
        <v>0.8975</v>
      </c>
    </row>
    <row r="385" spans="1:14">
      <c r="A385" t="s">
        <v>401</v>
      </c>
      <c r="B385" t="s">
        <v>35</v>
      </c>
      <c r="C385">
        <v>0</v>
      </c>
      <c r="D385" t="s">
        <v>19</v>
      </c>
      <c r="E385">
        <v>800</v>
      </c>
      <c r="F385">
        <v>841</v>
      </c>
      <c r="G385">
        <v>3.8</v>
      </c>
      <c r="H385">
        <v>0.95</v>
      </c>
      <c r="K385">
        <v>1</v>
      </c>
      <c r="L385" t="s">
        <v>9</v>
      </c>
      <c r="M385" t="s">
        <v>13</v>
      </c>
      <c r="N385">
        <v>2.9475</v>
      </c>
    </row>
    <row r="386" spans="1:14">
      <c r="A386" t="s">
        <v>402</v>
      </c>
      <c r="B386" t="s">
        <v>18</v>
      </c>
      <c r="C386">
        <v>0</v>
      </c>
      <c r="D386" t="s">
        <v>19</v>
      </c>
      <c r="E386">
        <v>1012</v>
      </c>
      <c r="F386">
        <v>810</v>
      </c>
      <c r="G386">
        <v>5</v>
      </c>
      <c r="H386">
        <v>1.25</v>
      </c>
      <c r="K386">
        <v>1</v>
      </c>
      <c r="L386" t="s">
        <v>9</v>
      </c>
      <c r="M386" t="s">
        <v>13</v>
      </c>
      <c r="N386">
        <v>0.69</v>
      </c>
    </row>
    <row r="387" spans="1:14">
      <c r="A387" t="s">
        <v>403</v>
      </c>
      <c r="B387" t="s">
        <v>22</v>
      </c>
      <c r="C387">
        <v>0</v>
      </c>
      <c r="D387" t="s">
        <v>19</v>
      </c>
      <c r="E387">
        <v>543</v>
      </c>
      <c r="F387">
        <v>839</v>
      </c>
      <c r="G387">
        <v>2.59</v>
      </c>
      <c r="H387">
        <v>0.6475</v>
      </c>
      <c r="K387">
        <v>1</v>
      </c>
      <c r="L387" t="s">
        <v>9</v>
      </c>
      <c r="M387" t="s">
        <v>13</v>
      </c>
      <c r="N387">
        <v>4.8975</v>
      </c>
    </row>
    <row r="388" spans="1:14">
      <c r="A388" t="s">
        <v>404</v>
      </c>
      <c r="B388" t="s">
        <v>8</v>
      </c>
      <c r="C388">
        <v>0</v>
      </c>
      <c r="D388" t="s">
        <v>19</v>
      </c>
      <c r="E388">
        <v>670</v>
      </c>
      <c r="F388">
        <v>898</v>
      </c>
      <c r="G388">
        <v>2.98</v>
      </c>
      <c r="H388">
        <v>0.745</v>
      </c>
      <c r="K388">
        <v>2</v>
      </c>
      <c r="L388" t="s">
        <v>9</v>
      </c>
      <c r="M388" t="s">
        <v>13</v>
      </c>
      <c r="N388">
        <v>0.5025</v>
      </c>
    </row>
    <row r="389" spans="1:14">
      <c r="A389" t="s">
        <v>405</v>
      </c>
      <c r="B389" t="s">
        <v>41</v>
      </c>
      <c r="C389">
        <v>0</v>
      </c>
      <c r="D389" t="s">
        <v>19</v>
      </c>
      <c r="E389">
        <v>145</v>
      </c>
      <c r="F389">
        <v>870</v>
      </c>
      <c r="G389">
        <v>0.67</v>
      </c>
      <c r="H389">
        <v>0.1675</v>
      </c>
      <c r="K389">
        <v>2</v>
      </c>
      <c r="L389" t="s">
        <v>9</v>
      </c>
      <c r="M389" t="s">
        <v>13</v>
      </c>
      <c r="N389">
        <v>1.32</v>
      </c>
    </row>
    <row r="390" spans="1:14">
      <c r="A390" t="s">
        <v>406</v>
      </c>
      <c r="B390" t="s">
        <v>13</v>
      </c>
      <c r="C390">
        <v>0</v>
      </c>
      <c r="D390" t="s">
        <v>19</v>
      </c>
      <c r="E390">
        <v>1032</v>
      </c>
      <c r="F390">
        <v>841</v>
      </c>
      <c r="G390">
        <v>4.91</v>
      </c>
      <c r="H390">
        <v>1.2275</v>
      </c>
      <c r="K390">
        <v>2</v>
      </c>
      <c r="L390" t="s">
        <v>9</v>
      </c>
      <c r="M390" t="s">
        <v>13</v>
      </c>
      <c r="N390">
        <v>3.5075</v>
      </c>
    </row>
    <row r="391" spans="1:14">
      <c r="A391" t="s">
        <v>407</v>
      </c>
      <c r="B391" t="s">
        <v>16</v>
      </c>
      <c r="C391">
        <v>0</v>
      </c>
      <c r="D391" t="s">
        <v>19</v>
      </c>
      <c r="E391">
        <v>606</v>
      </c>
      <c r="F391">
        <v>841</v>
      </c>
      <c r="G391">
        <v>2.88</v>
      </c>
      <c r="H391">
        <v>0.72</v>
      </c>
      <c r="K391">
        <v>2</v>
      </c>
      <c r="L391" t="s">
        <v>9</v>
      </c>
      <c r="M391" t="s">
        <v>13</v>
      </c>
      <c r="N391">
        <v>1.025</v>
      </c>
    </row>
    <row r="392" spans="1:14">
      <c r="A392" t="s">
        <v>408</v>
      </c>
      <c r="B392" t="s">
        <v>20</v>
      </c>
      <c r="C392">
        <v>0</v>
      </c>
      <c r="D392" t="s">
        <v>19</v>
      </c>
      <c r="E392">
        <v>1773</v>
      </c>
      <c r="F392">
        <v>841</v>
      </c>
      <c r="G392">
        <v>8.43</v>
      </c>
      <c r="H392">
        <v>2.1075</v>
      </c>
      <c r="K392">
        <v>2</v>
      </c>
      <c r="L392" t="s">
        <v>9</v>
      </c>
      <c r="M392" t="s">
        <v>13</v>
      </c>
      <c r="N392">
        <v>5.3175</v>
      </c>
    </row>
    <row r="393" spans="1:14">
      <c r="A393" t="s">
        <v>409</v>
      </c>
      <c r="B393" t="s">
        <v>35</v>
      </c>
      <c r="C393">
        <v>0</v>
      </c>
      <c r="D393" t="s">
        <v>19</v>
      </c>
      <c r="E393">
        <v>575</v>
      </c>
      <c r="F393">
        <v>841</v>
      </c>
      <c r="G393">
        <v>2.73</v>
      </c>
      <c r="H393">
        <v>0.6825</v>
      </c>
      <c r="K393">
        <v>3</v>
      </c>
      <c r="L393" t="s">
        <v>9</v>
      </c>
      <c r="M393" t="s">
        <v>13</v>
      </c>
      <c r="N393">
        <v>0.7425</v>
      </c>
    </row>
    <row r="394" spans="1:14">
      <c r="A394" t="s">
        <v>410</v>
      </c>
      <c r="B394" t="s">
        <v>18</v>
      </c>
      <c r="C394">
        <v>0</v>
      </c>
      <c r="D394" t="s">
        <v>19</v>
      </c>
      <c r="E394">
        <v>578</v>
      </c>
      <c r="F394">
        <v>870</v>
      </c>
      <c r="G394">
        <v>2.66</v>
      </c>
      <c r="H394">
        <v>0.665</v>
      </c>
      <c r="K394">
        <v>3</v>
      </c>
      <c r="L394" t="s">
        <v>9</v>
      </c>
      <c r="M394" t="s">
        <v>13</v>
      </c>
      <c r="N394">
        <v>1.82</v>
      </c>
    </row>
    <row r="395" spans="1:14">
      <c r="A395" t="s">
        <v>411</v>
      </c>
      <c r="B395" t="s">
        <v>22</v>
      </c>
      <c r="C395">
        <v>0</v>
      </c>
      <c r="D395" t="s">
        <v>19</v>
      </c>
      <c r="E395">
        <v>1192</v>
      </c>
      <c r="F395">
        <v>841</v>
      </c>
      <c r="G395">
        <v>5.67</v>
      </c>
      <c r="H395">
        <v>1.4175</v>
      </c>
      <c r="K395">
        <v>3</v>
      </c>
      <c r="L395" t="s">
        <v>9</v>
      </c>
      <c r="M395" t="s">
        <v>13</v>
      </c>
      <c r="N395">
        <v>4.59</v>
      </c>
    </row>
    <row r="396" spans="1:14">
      <c r="A396" t="s">
        <v>412</v>
      </c>
      <c r="B396" t="s">
        <v>8</v>
      </c>
      <c r="C396">
        <v>0</v>
      </c>
      <c r="D396" t="s">
        <v>19</v>
      </c>
      <c r="E396">
        <v>2395</v>
      </c>
      <c r="F396">
        <v>863</v>
      </c>
      <c r="G396">
        <v>11.1</v>
      </c>
      <c r="H396">
        <v>2.775</v>
      </c>
      <c r="K396">
        <v>3</v>
      </c>
      <c r="L396" t="s">
        <v>9</v>
      </c>
      <c r="M396" t="s">
        <v>13</v>
      </c>
      <c r="N396">
        <v>1.4025</v>
      </c>
    </row>
    <row r="397" spans="1:14">
      <c r="A397" t="s">
        <v>413</v>
      </c>
      <c r="B397" t="s">
        <v>13</v>
      </c>
      <c r="C397">
        <v>0</v>
      </c>
      <c r="D397" t="s">
        <v>19</v>
      </c>
      <c r="E397">
        <v>792</v>
      </c>
      <c r="F397">
        <v>863</v>
      </c>
      <c r="G397">
        <v>3.67</v>
      </c>
      <c r="H397">
        <v>0.9175</v>
      </c>
      <c r="K397">
        <v>3</v>
      </c>
      <c r="L397" t="s">
        <v>9</v>
      </c>
      <c r="M397" t="s">
        <v>13</v>
      </c>
      <c r="N397">
        <v>6.28</v>
      </c>
    </row>
    <row r="398" spans="1:14">
      <c r="A398" t="s">
        <v>414</v>
      </c>
      <c r="B398" t="s">
        <v>16</v>
      </c>
      <c r="C398">
        <v>0</v>
      </c>
      <c r="D398" t="s">
        <v>19</v>
      </c>
      <c r="E398">
        <v>1792</v>
      </c>
      <c r="F398">
        <v>870</v>
      </c>
      <c r="G398">
        <v>8.24</v>
      </c>
      <c r="H398">
        <v>2.06</v>
      </c>
      <c r="K398">
        <v>0</v>
      </c>
      <c r="L398" t="s">
        <v>9</v>
      </c>
      <c r="M398" t="s">
        <v>16</v>
      </c>
      <c r="N398">
        <v>0.84</v>
      </c>
    </row>
    <row r="399" spans="1:14">
      <c r="A399" t="s">
        <v>415</v>
      </c>
      <c r="B399" t="s">
        <v>20</v>
      </c>
      <c r="C399">
        <v>0</v>
      </c>
      <c r="D399" t="s">
        <v>19</v>
      </c>
      <c r="E399">
        <v>1340</v>
      </c>
      <c r="F399">
        <v>842</v>
      </c>
      <c r="G399">
        <v>6.37</v>
      </c>
      <c r="H399">
        <v>1.5925</v>
      </c>
      <c r="K399">
        <v>0</v>
      </c>
      <c r="L399" t="s">
        <v>9</v>
      </c>
      <c r="M399" t="s">
        <v>16</v>
      </c>
      <c r="N399">
        <v>0.6225</v>
      </c>
    </row>
    <row r="400" spans="1:14">
      <c r="A400" t="s">
        <v>416</v>
      </c>
      <c r="B400" t="s">
        <v>35</v>
      </c>
      <c r="C400">
        <v>0</v>
      </c>
      <c r="D400" t="s">
        <v>19</v>
      </c>
      <c r="E400">
        <v>542</v>
      </c>
      <c r="F400">
        <v>841</v>
      </c>
      <c r="G400">
        <v>2.58</v>
      </c>
      <c r="H400">
        <v>0.645</v>
      </c>
      <c r="K400">
        <v>0</v>
      </c>
      <c r="L400" t="s">
        <v>9</v>
      </c>
      <c r="M400" t="s">
        <v>16</v>
      </c>
      <c r="N400">
        <v>1.6175</v>
      </c>
    </row>
    <row r="401" spans="1:14">
      <c r="A401" t="s">
        <v>417</v>
      </c>
      <c r="B401" t="s">
        <v>18</v>
      </c>
      <c r="C401">
        <v>0</v>
      </c>
      <c r="D401" t="s">
        <v>19</v>
      </c>
      <c r="E401">
        <v>1517</v>
      </c>
      <c r="F401">
        <v>843</v>
      </c>
      <c r="G401">
        <v>7.2</v>
      </c>
      <c r="H401">
        <v>1.8</v>
      </c>
      <c r="K401">
        <v>0</v>
      </c>
      <c r="L401" t="s">
        <v>9</v>
      </c>
      <c r="M401" t="s">
        <v>16</v>
      </c>
      <c r="N401">
        <v>0.4175</v>
      </c>
    </row>
    <row r="402" spans="1:14">
      <c r="A402" t="s">
        <v>418</v>
      </c>
      <c r="B402" t="s">
        <v>22</v>
      </c>
      <c r="C402">
        <v>0</v>
      </c>
      <c r="D402" t="s">
        <v>19</v>
      </c>
      <c r="E402">
        <v>457</v>
      </c>
      <c r="F402">
        <v>841</v>
      </c>
      <c r="G402">
        <v>2.17</v>
      </c>
      <c r="H402">
        <v>0.5425</v>
      </c>
      <c r="K402">
        <v>0</v>
      </c>
      <c r="L402" t="s">
        <v>9</v>
      </c>
      <c r="M402" t="s">
        <v>16</v>
      </c>
      <c r="N402">
        <v>0.7075</v>
      </c>
    </row>
    <row r="403" spans="1:14">
      <c r="A403" t="s">
        <v>419</v>
      </c>
      <c r="B403" t="s">
        <v>8</v>
      </c>
      <c r="C403">
        <v>0</v>
      </c>
      <c r="D403" t="s">
        <v>19</v>
      </c>
      <c r="E403">
        <v>1134</v>
      </c>
      <c r="F403">
        <v>841</v>
      </c>
      <c r="G403">
        <v>5.39</v>
      </c>
      <c r="H403">
        <v>1.3475</v>
      </c>
      <c r="K403">
        <v>1</v>
      </c>
      <c r="L403" t="s">
        <v>9</v>
      </c>
      <c r="M403" t="s">
        <v>16</v>
      </c>
      <c r="N403">
        <v>1.1975</v>
      </c>
    </row>
    <row r="404" spans="1:14">
      <c r="A404" t="s">
        <v>420</v>
      </c>
      <c r="B404" t="s">
        <v>16</v>
      </c>
      <c r="C404">
        <v>0</v>
      </c>
      <c r="D404" t="s">
        <v>19</v>
      </c>
      <c r="E404">
        <v>542</v>
      </c>
      <c r="F404">
        <v>864</v>
      </c>
      <c r="G404">
        <v>2.51</v>
      </c>
      <c r="H404">
        <v>0.6275</v>
      </c>
      <c r="K404">
        <v>1</v>
      </c>
      <c r="L404" t="s">
        <v>9</v>
      </c>
      <c r="M404" t="s">
        <v>16</v>
      </c>
      <c r="N404">
        <v>0.7625</v>
      </c>
    </row>
    <row r="405" spans="1:14">
      <c r="A405" t="s">
        <v>421</v>
      </c>
      <c r="B405" t="s">
        <v>8</v>
      </c>
      <c r="C405">
        <v>0</v>
      </c>
      <c r="D405" t="s">
        <v>10</v>
      </c>
      <c r="E405">
        <v>332</v>
      </c>
      <c r="F405">
        <v>894</v>
      </c>
      <c r="G405">
        <v>1.49</v>
      </c>
      <c r="H405">
        <v>0.3725</v>
      </c>
      <c r="K405">
        <v>1</v>
      </c>
      <c r="L405" t="s">
        <v>9</v>
      </c>
      <c r="M405" t="s">
        <v>16</v>
      </c>
      <c r="N405">
        <v>2.6875</v>
      </c>
    </row>
    <row r="406" spans="1:14">
      <c r="A406" t="s">
        <v>422</v>
      </c>
      <c r="B406" t="s">
        <v>41</v>
      </c>
      <c r="C406">
        <v>0</v>
      </c>
      <c r="D406" t="s">
        <v>10</v>
      </c>
      <c r="E406">
        <v>169</v>
      </c>
      <c r="F406">
        <v>868</v>
      </c>
      <c r="G406">
        <v>0.78</v>
      </c>
      <c r="H406">
        <v>0.195</v>
      </c>
      <c r="K406">
        <v>1</v>
      </c>
      <c r="L406" t="s">
        <v>9</v>
      </c>
      <c r="M406" t="s">
        <v>16</v>
      </c>
      <c r="N406">
        <v>0.585</v>
      </c>
    </row>
    <row r="407" spans="1:14">
      <c r="A407" t="s">
        <v>423</v>
      </c>
      <c r="B407" t="s">
        <v>13</v>
      </c>
      <c r="C407">
        <v>0</v>
      </c>
      <c r="D407" t="s">
        <v>10</v>
      </c>
      <c r="E407">
        <v>882</v>
      </c>
      <c r="F407">
        <v>863</v>
      </c>
      <c r="G407">
        <v>4.09</v>
      </c>
      <c r="H407">
        <v>1.0225</v>
      </c>
      <c r="K407">
        <v>1</v>
      </c>
      <c r="L407" t="s">
        <v>9</v>
      </c>
      <c r="M407" t="s">
        <v>16</v>
      </c>
      <c r="N407">
        <v>1.115</v>
      </c>
    </row>
    <row r="408" spans="1:14">
      <c r="A408" t="s">
        <v>424</v>
      </c>
      <c r="B408" t="s">
        <v>16</v>
      </c>
      <c r="C408">
        <v>0</v>
      </c>
      <c r="D408" t="s">
        <v>10</v>
      </c>
      <c r="E408">
        <v>615</v>
      </c>
      <c r="F408">
        <v>841</v>
      </c>
      <c r="G408">
        <v>2.93</v>
      </c>
      <c r="H408">
        <v>0.7325</v>
      </c>
      <c r="K408">
        <v>2</v>
      </c>
      <c r="L408" t="s">
        <v>9</v>
      </c>
      <c r="M408" t="s">
        <v>16</v>
      </c>
      <c r="N408">
        <v>1.55</v>
      </c>
    </row>
    <row r="409" spans="1:14">
      <c r="A409" t="s">
        <v>425</v>
      </c>
      <c r="B409" t="s">
        <v>20</v>
      </c>
      <c r="C409">
        <v>0</v>
      </c>
      <c r="D409" t="s">
        <v>10</v>
      </c>
      <c r="E409">
        <v>988</v>
      </c>
      <c r="F409">
        <v>864</v>
      </c>
      <c r="G409">
        <v>4.57</v>
      </c>
      <c r="H409">
        <v>1.1425</v>
      </c>
      <c r="K409">
        <v>2</v>
      </c>
      <c r="L409" t="s">
        <v>9</v>
      </c>
      <c r="M409" t="s">
        <v>16</v>
      </c>
      <c r="N409">
        <v>0.9</v>
      </c>
    </row>
    <row r="410" spans="1:14">
      <c r="A410" t="s">
        <v>426</v>
      </c>
      <c r="B410" t="s">
        <v>35</v>
      </c>
      <c r="C410">
        <v>0</v>
      </c>
      <c r="D410" t="s">
        <v>10</v>
      </c>
      <c r="E410">
        <v>577</v>
      </c>
      <c r="F410">
        <v>841</v>
      </c>
      <c r="G410">
        <v>2.74</v>
      </c>
      <c r="H410">
        <v>0.685</v>
      </c>
      <c r="K410">
        <v>2</v>
      </c>
      <c r="L410" t="s">
        <v>9</v>
      </c>
      <c r="M410" t="s">
        <v>16</v>
      </c>
      <c r="N410">
        <v>3.0575</v>
      </c>
    </row>
    <row r="411" spans="1:14">
      <c r="A411" t="s">
        <v>427</v>
      </c>
      <c r="B411" t="s">
        <v>18</v>
      </c>
      <c r="C411">
        <v>0</v>
      </c>
      <c r="D411" t="s">
        <v>10</v>
      </c>
      <c r="E411">
        <v>1149</v>
      </c>
      <c r="F411">
        <v>841</v>
      </c>
      <c r="G411">
        <v>5.46</v>
      </c>
      <c r="H411">
        <v>1.365</v>
      </c>
      <c r="K411">
        <v>2</v>
      </c>
      <c r="L411" t="s">
        <v>9</v>
      </c>
      <c r="M411" t="s">
        <v>16</v>
      </c>
      <c r="N411">
        <v>0.905</v>
      </c>
    </row>
    <row r="412" spans="1:14">
      <c r="A412" t="s">
        <v>428</v>
      </c>
      <c r="B412" t="s">
        <v>22</v>
      </c>
      <c r="C412">
        <v>0</v>
      </c>
      <c r="D412" t="s">
        <v>10</v>
      </c>
      <c r="E412">
        <v>409</v>
      </c>
      <c r="F412">
        <v>861</v>
      </c>
      <c r="G412">
        <v>1.9</v>
      </c>
      <c r="H412">
        <v>0.475</v>
      </c>
      <c r="K412">
        <v>2</v>
      </c>
      <c r="L412" t="s">
        <v>9</v>
      </c>
      <c r="M412" t="s">
        <v>16</v>
      </c>
      <c r="N412">
        <v>1.505</v>
      </c>
    </row>
    <row r="413" spans="1:14">
      <c r="A413" t="s">
        <v>429</v>
      </c>
      <c r="B413" t="s">
        <v>8</v>
      </c>
      <c r="C413">
        <v>0</v>
      </c>
      <c r="D413" t="s">
        <v>10</v>
      </c>
      <c r="E413">
        <v>450</v>
      </c>
      <c r="F413">
        <v>841</v>
      </c>
      <c r="G413">
        <v>2.14</v>
      </c>
      <c r="H413">
        <v>0.535</v>
      </c>
      <c r="K413">
        <v>3</v>
      </c>
      <c r="L413" t="s">
        <v>9</v>
      </c>
      <c r="M413" t="s">
        <v>16</v>
      </c>
      <c r="N413">
        <v>2.06</v>
      </c>
    </row>
    <row r="414" spans="1:14">
      <c r="A414" t="s">
        <v>430</v>
      </c>
      <c r="B414" t="s">
        <v>41</v>
      </c>
      <c r="C414">
        <v>0</v>
      </c>
      <c r="D414" t="s">
        <v>10</v>
      </c>
      <c r="E414">
        <v>209</v>
      </c>
      <c r="F414">
        <v>861</v>
      </c>
      <c r="G414">
        <v>0.97</v>
      </c>
      <c r="H414">
        <v>0.2425</v>
      </c>
      <c r="K414">
        <v>3</v>
      </c>
      <c r="L414" t="s">
        <v>9</v>
      </c>
      <c r="M414" t="s">
        <v>16</v>
      </c>
      <c r="N414">
        <v>1.3425</v>
      </c>
    </row>
    <row r="415" spans="1:14">
      <c r="A415" t="s">
        <v>431</v>
      </c>
      <c r="B415" t="s">
        <v>16</v>
      </c>
      <c r="C415">
        <v>0</v>
      </c>
      <c r="D415" t="s">
        <v>10</v>
      </c>
      <c r="E415">
        <v>1062</v>
      </c>
      <c r="F415">
        <v>841</v>
      </c>
      <c r="G415">
        <v>5.05</v>
      </c>
      <c r="H415">
        <v>1.2625</v>
      </c>
      <c r="K415">
        <v>3</v>
      </c>
      <c r="L415" t="s">
        <v>9</v>
      </c>
      <c r="M415" t="s">
        <v>16</v>
      </c>
      <c r="N415">
        <v>4.4</v>
      </c>
    </row>
    <row r="416" spans="1:14">
      <c r="A416" t="s">
        <v>432</v>
      </c>
      <c r="B416" t="s">
        <v>11</v>
      </c>
      <c r="C416">
        <v>0</v>
      </c>
      <c r="D416" t="s">
        <v>10</v>
      </c>
      <c r="E416">
        <v>1062</v>
      </c>
      <c r="F416">
        <v>841</v>
      </c>
      <c r="G416">
        <v>5.05</v>
      </c>
      <c r="H416">
        <v>1.2625</v>
      </c>
      <c r="K416">
        <v>3</v>
      </c>
      <c r="L416" t="s">
        <v>9</v>
      </c>
      <c r="M416" t="s">
        <v>16</v>
      </c>
      <c r="N416">
        <v>1.175</v>
      </c>
    </row>
    <row r="417" spans="1:14">
      <c r="A417" t="s">
        <v>433</v>
      </c>
      <c r="B417" t="s">
        <v>20</v>
      </c>
      <c r="C417">
        <v>0</v>
      </c>
      <c r="D417" t="s">
        <v>10</v>
      </c>
      <c r="E417">
        <v>894</v>
      </c>
      <c r="F417">
        <v>855</v>
      </c>
      <c r="G417">
        <v>4.18</v>
      </c>
      <c r="H417">
        <v>1.045</v>
      </c>
      <c r="K417">
        <v>3</v>
      </c>
      <c r="L417" t="s">
        <v>9</v>
      </c>
      <c r="M417" t="s">
        <v>16</v>
      </c>
      <c r="N417">
        <v>2.1225</v>
      </c>
    </row>
    <row r="418" spans="1:14">
      <c r="A418" t="s">
        <v>434</v>
      </c>
      <c r="B418" t="s">
        <v>35</v>
      </c>
      <c r="C418">
        <v>0</v>
      </c>
      <c r="D418" t="s">
        <v>10</v>
      </c>
      <c r="E418">
        <v>640</v>
      </c>
      <c r="F418">
        <v>841</v>
      </c>
      <c r="G418">
        <v>3.04</v>
      </c>
      <c r="H418">
        <v>0.76</v>
      </c>
      <c r="K418">
        <v>0</v>
      </c>
      <c r="L418" t="s">
        <v>9</v>
      </c>
      <c r="M418" t="s">
        <v>18</v>
      </c>
      <c r="N418">
        <v>0.9575</v>
      </c>
    </row>
    <row r="419" spans="1:14">
      <c r="A419" t="s">
        <v>435</v>
      </c>
      <c r="B419" t="s">
        <v>18</v>
      </c>
      <c r="C419">
        <v>0</v>
      </c>
      <c r="D419" t="s">
        <v>10</v>
      </c>
      <c r="E419">
        <v>639</v>
      </c>
      <c r="F419">
        <v>893</v>
      </c>
      <c r="G419">
        <v>2.86</v>
      </c>
      <c r="H419">
        <v>0.715</v>
      </c>
      <c r="K419">
        <v>0</v>
      </c>
      <c r="L419" t="s">
        <v>9</v>
      </c>
      <c r="M419" t="s">
        <v>18</v>
      </c>
      <c r="N419">
        <v>1.415</v>
      </c>
    </row>
    <row r="420" spans="1:14">
      <c r="A420" t="s">
        <v>436</v>
      </c>
      <c r="B420" t="s">
        <v>22</v>
      </c>
      <c r="C420">
        <v>0</v>
      </c>
      <c r="D420" t="s">
        <v>10</v>
      </c>
      <c r="E420">
        <v>2230</v>
      </c>
      <c r="F420">
        <v>841</v>
      </c>
      <c r="G420">
        <v>10.61</v>
      </c>
      <c r="H420">
        <v>2.6525</v>
      </c>
      <c r="K420">
        <v>0</v>
      </c>
      <c r="L420" t="s">
        <v>9</v>
      </c>
      <c r="M420" t="s">
        <v>18</v>
      </c>
      <c r="N420">
        <v>0.2</v>
      </c>
    </row>
    <row r="421" spans="1:14">
      <c r="A421" t="s">
        <v>437</v>
      </c>
      <c r="B421" t="s">
        <v>8</v>
      </c>
      <c r="C421">
        <v>0</v>
      </c>
      <c r="D421" t="s">
        <v>10</v>
      </c>
      <c r="E421">
        <v>189</v>
      </c>
      <c r="F421">
        <v>841</v>
      </c>
      <c r="G421">
        <v>0.9</v>
      </c>
      <c r="H421">
        <v>0.225</v>
      </c>
      <c r="K421">
        <v>0</v>
      </c>
      <c r="L421" t="s">
        <v>9</v>
      </c>
      <c r="M421" t="s">
        <v>18</v>
      </c>
      <c r="N421">
        <v>0.9725</v>
      </c>
    </row>
    <row r="422" spans="1:14">
      <c r="A422" t="s">
        <v>438</v>
      </c>
      <c r="B422" t="s">
        <v>41</v>
      </c>
      <c r="C422">
        <v>0</v>
      </c>
      <c r="D422" t="s">
        <v>10</v>
      </c>
      <c r="E422">
        <v>433</v>
      </c>
      <c r="F422">
        <v>866</v>
      </c>
      <c r="G422">
        <v>2</v>
      </c>
      <c r="H422">
        <v>0.5</v>
      </c>
      <c r="K422">
        <v>0</v>
      </c>
      <c r="L422" t="s">
        <v>9</v>
      </c>
      <c r="M422" t="s">
        <v>18</v>
      </c>
      <c r="N422">
        <v>0.655</v>
      </c>
    </row>
    <row r="423" spans="1:14">
      <c r="A423" t="s">
        <v>439</v>
      </c>
      <c r="B423" t="s">
        <v>13</v>
      </c>
      <c r="C423">
        <v>0</v>
      </c>
      <c r="D423" t="s">
        <v>10</v>
      </c>
      <c r="E423">
        <v>572</v>
      </c>
      <c r="F423">
        <v>841</v>
      </c>
      <c r="G423">
        <v>2.72</v>
      </c>
      <c r="H423">
        <v>0.68</v>
      </c>
      <c r="K423">
        <v>1</v>
      </c>
      <c r="L423" t="s">
        <v>9</v>
      </c>
      <c r="M423" t="s">
        <v>18</v>
      </c>
      <c r="N423">
        <v>1.3325</v>
      </c>
    </row>
    <row r="424" spans="1:14">
      <c r="A424" t="s">
        <v>440</v>
      </c>
      <c r="B424" t="s">
        <v>16</v>
      </c>
      <c r="C424">
        <v>0</v>
      </c>
      <c r="D424" t="s">
        <v>10</v>
      </c>
      <c r="E424">
        <v>888</v>
      </c>
      <c r="F424">
        <v>841</v>
      </c>
      <c r="G424">
        <v>4.22</v>
      </c>
      <c r="H424">
        <v>1.055</v>
      </c>
      <c r="K424">
        <v>1</v>
      </c>
      <c r="L424" t="s">
        <v>9</v>
      </c>
      <c r="M424" t="s">
        <v>18</v>
      </c>
      <c r="N424">
        <v>1.8425</v>
      </c>
    </row>
    <row r="425" spans="1:14">
      <c r="A425" t="s">
        <v>441</v>
      </c>
      <c r="B425" t="s">
        <v>20</v>
      </c>
      <c r="C425">
        <v>0</v>
      </c>
      <c r="D425" t="s">
        <v>10</v>
      </c>
      <c r="E425">
        <v>391</v>
      </c>
      <c r="F425">
        <v>847</v>
      </c>
      <c r="G425">
        <v>1.85</v>
      </c>
      <c r="H425">
        <v>0.4625</v>
      </c>
      <c r="K425">
        <v>1</v>
      </c>
      <c r="L425" t="s">
        <v>9</v>
      </c>
      <c r="M425" t="s">
        <v>18</v>
      </c>
      <c r="N425">
        <v>0.54</v>
      </c>
    </row>
    <row r="426" spans="1:14">
      <c r="A426" t="s">
        <v>442</v>
      </c>
      <c r="B426" t="s">
        <v>35</v>
      </c>
      <c r="C426">
        <v>0</v>
      </c>
      <c r="D426" t="s">
        <v>10</v>
      </c>
      <c r="E426">
        <v>413</v>
      </c>
      <c r="F426">
        <v>870</v>
      </c>
      <c r="G426">
        <v>1.9</v>
      </c>
      <c r="H426">
        <v>0.475</v>
      </c>
      <c r="K426">
        <v>1</v>
      </c>
      <c r="L426" t="s">
        <v>9</v>
      </c>
      <c r="M426" t="s">
        <v>18</v>
      </c>
      <c r="N426">
        <v>1.4825</v>
      </c>
    </row>
    <row r="427" spans="1:14">
      <c r="A427" t="s">
        <v>443</v>
      </c>
      <c r="B427" t="s">
        <v>18</v>
      </c>
      <c r="C427">
        <v>0</v>
      </c>
      <c r="D427" t="s">
        <v>10</v>
      </c>
      <c r="E427">
        <v>1088</v>
      </c>
      <c r="F427">
        <v>841</v>
      </c>
      <c r="G427">
        <v>5.17</v>
      </c>
      <c r="H427">
        <v>1.2925</v>
      </c>
      <c r="K427">
        <v>1</v>
      </c>
      <c r="L427" t="s">
        <v>9</v>
      </c>
      <c r="M427" t="s">
        <v>18</v>
      </c>
      <c r="N427">
        <v>1.14</v>
      </c>
    </row>
    <row r="428" spans="1:14">
      <c r="A428" t="s">
        <v>444</v>
      </c>
      <c r="B428" t="s">
        <v>22</v>
      </c>
      <c r="C428">
        <v>0</v>
      </c>
      <c r="D428" t="s">
        <v>10</v>
      </c>
      <c r="E428">
        <v>681</v>
      </c>
      <c r="F428">
        <v>866</v>
      </c>
      <c r="G428">
        <v>3.15</v>
      </c>
      <c r="H428">
        <v>0.7875</v>
      </c>
      <c r="K428">
        <v>2</v>
      </c>
      <c r="L428" t="s">
        <v>9</v>
      </c>
      <c r="M428" t="s">
        <v>18</v>
      </c>
      <c r="N428">
        <v>1.69</v>
      </c>
    </row>
    <row r="429" spans="1:14">
      <c r="A429" t="s">
        <v>445</v>
      </c>
      <c r="B429" t="s">
        <v>8</v>
      </c>
      <c r="C429">
        <v>0</v>
      </c>
      <c r="D429" t="s">
        <v>10</v>
      </c>
      <c r="E429">
        <v>55</v>
      </c>
      <c r="F429">
        <v>869</v>
      </c>
      <c r="G429">
        <v>0.25</v>
      </c>
      <c r="H429">
        <v>0.0625</v>
      </c>
      <c r="K429">
        <v>2</v>
      </c>
      <c r="L429" t="s">
        <v>9</v>
      </c>
      <c r="M429" t="s">
        <v>18</v>
      </c>
      <c r="N429">
        <v>2.5025</v>
      </c>
    </row>
    <row r="430" spans="1:14">
      <c r="A430" t="s">
        <v>446</v>
      </c>
      <c r="B430" t="s">
        <v>13</v>
      </c>
      <c r="C430">
        <v>0</v>
      </c>
      <c r="D430" t="s">
        <v>10</v>
      </c>
      <c r="E430">
        <v>100</v>
      </c>
      <c r="F430">
        <v>870</v>
      </c>
      <c r="G430">
        <v>0.46</v>
      </c>
      <c r="H430">
        <v>0.115</v>
      </c>
      <c r="K430">
        <v>2</v>
      </c>
      <c r="L430" t="s">
        <v>9</v>
      </c>
      <c r="M430" t="s">
        <v>18</v>
      </c>
      <c r="N430">
        <v>0.685</v>
      </c>
    </row>
    <row r="431" spans="1:14">
      <c r="A431" t="s">
        <v>447</v>
      </c>
      <c r="B431" t="s">
        <v>16</v>
      </c>
      <c r="C431">
        <v>0</v>
      </c>
      <c r="D431" t="s">
        <v>10</v>
      </c>
      <c r="E431">
        <v>662</v>
      </c>
      <c r="F431">
        <v>869</v>
      </c>
      <c r="G431">
        <v>3.05</v>
      </c>
      <c r="H431">
        <v>0.7625</v>
      </c>
      <c r="K431">
        <v>2</v>
      </c>
      <c r="L431" t="s">
        <v>9</v>
      </c>
      <c r="M431" t="s">
        <v>18</v>
      </c>
      <c r="N431">
        <v>2.125</v>
      </c>
    </row>
    <row r="432" spans="1:14">
      <c r="A432" t="s">
        <v>448</v>
      </c>
      <c r="B432" t="s">
        <v>20</v>
      </c>
      <c r="C432">
        <v>0</v>
      </c>
      <c r="D432" t="s">
        <v>10</v>
      </c>
      <c r="E432">
        <v>2441</v>
      </c>
      <c r="F432">
        <v>870</v>
      </c>
      <c r="G432">
        <v>11.22</v>
      </c>
      <c r="H432">
        <v>2.805</v>
      </c>
      <c r="K432">
        <v>2</v>
      </c>
      <c r="L432" t="s">
        <v>9</v>
      </c>
      <c r="M432" t="s">
        <v>18</v>
      </c>
      <c r="N432">
        <v>1.45</v>
      </c>
    </row>
    <row r="433" spans="1:14">
      <c r="A433" t="s">
        <v>449</v>
      </c>
      <c r="B433" t="s">
        <v>35</v>
      </c>
      <c r="C433">
        <v>0</v>
      </c>
      <c r="D433" t="s">
        <v>10</v>
      </c>
      <c r="E433">
        <v>760</v>
      </c>
      <c r="F433">
        <v>870</v>
      </c>
      <c r="G433">
        <v>3.49</v>
      </c>
      <c r="H433">
        <v>0.8725</v>
      </c>
      <c r="K433">
        <v>3</v>
      </c>
      <c r="L433" t="s">
        <v>9</v>
      </c>
      <c r="M433" t="s">
        <v>18</v>
      </c>
      <c r="N433">
        <v>1.8025</v>
      </c>
    </row>
    <row r="434" spans="1:14">
      <c r="A434" t="s">
        <v>450</v>
      </c>
      <c r="B434" t="s">
        <v>18</v>
      </c>
      <c r="C434">
        <v>0</v>
      </c>
      <c r="D434" t="s">
        <v>10</v>
      </c>
      <c r="E434">
        <v>579</v>
      </c>
      <c r="F434">
        <v>869</v>
      </c>
      <c r="G434">
        <v>2.67</v>
      </c>
      <c r="H434">
        <v>0.6675</v>
      </c>
      <c r="K434">
        <v>3</v>
      </c>
      <c r="L434" t="s">
        <v>9</v>
      </c>
      <c r="M434" t="s">
        <v>18</v>
      </c>
      <c r="N434">
        <v>3.14</v>
      </c>
    </row>
    <row r="435" spans="1:14">
      <c r="A435" t="s">
        <v>451</v>
      </c>
      <c r="B435" t="s">
        <v>22</v>
      </c>
      <c r="C435">
        <v>0</v>
      </c>
      <c r="D435" t="s">
        <v>10</v>
      </c>
      <c r="E435">
        <v>336</v>
      </c>
      <c r="F435">
        <v>867</v>
      </c>
      <c r="G435">
        <v>1.55</v>
      </c>
      <c r="H435">
        <v>0.3875</v>
      </c>
      <c r="K435">
        <v>3</v>
      </c>
      <c r="L435" t="s">
        <v>9</v>
      </c>
      <c r="M435" t="s">
        <v>18</v>
      </c>
      <c r="N435">
        <v>1.03</v>
      </c>
    </row>
    <row r="436" spans="1:14">
      <c r="A436" t="s">
        <v>452</v>
      </c>
      <c r="B436" t="s">
        <v>8</v>
      </c>
      <c r="C436">
        <v>0</v>
      </c>
      <c r="D436" t="s">
        <v>10</v>
      </c>
      <c r="E436">
        <v>1577</v>
      </c>
      <c r="F436">
        <v>861</v>
      </c>
      <c r="G436">
        <v>7.33</v>
      </c>
      <c r="H436">
        <v>1.8325</v>
      </c>
      <c r="K436">
        <v>3</v>
      </c>
      <c r="L436" t="s">
        <v>9</v>
      </c>
      <c r="M436" t="s">
        <v>18</v>
      </c>
      <c r="N436">
        <v>2.71</v>
      </c>
    </row>
    <row r="437" spans="1:14">
      <c r="A437" t="s">
        <v>453</v>
      </c>
      <c r="B437" t="s">
        <v>41</v>
      </c>
      <c r="C437">
        <v>0</v>
      </c>
      <c r="D437" t="s">
        <v>10</v>
      </c>
      <c r="E437">
        <v>235</v>
      </c>
      <c r="F437">
        <v>864</v>
      </c>
      <c r="G437">
        <v>1.09</v>
      </c>
      <c r="H437">
        <v>0.2725</v>
      </c>
      <c r="K437">
        <v>3</v>
      </c>
      <c r="L437" t="s">
        <v>9</v>
      </c>
      <c r="M437" t="s">
        <v>18</v>
      </c>
      <c r="N437">
        <v>2.1925</v>
      </c>
    </row>
    <row r="438" spans="1:14">
      <c r="A438" t="s">
        <v>454</v>
      </c>
      <c r="B438" t="s">
        <v>13</v>
      </c>
      <c r="C438">
        <v>0</v>
      </c>
      <c r="D438" t="s">
        <v>10</v>
      </c>
      <c r="E438">
        <v>390</v>
      </c>
      <c r="F438">
        <v>862</v>
      </c>
      <c r="G438">
        <v>1.81</v>
      </c>
      <c r="H438">
        <v>0.4525</v>
      </c>
      <c r="K438">
        <v>0</v>
      </c>
      <c r="L438" t="s">
        <v>9</v>
      </c>
      <c r="M438" t="s">
        <v>35</v>
      </c>
      <c r="N438">
        <v>1.105</v>
      </c>
    </row>
    <row r="439" spans="1:14">
      <c r="A439" t="s">
        <v>455</v>
      </c>
      <c r="B439" t="s">
        <v>16</v>
      </c>
      <c r="C439">
        <v>0</v>
      </c>
      <c r="D439" t="s">
        <v>10</v>
      </c>
      <c r="E439">
        <v>959</v>
      </c>
      <c r="F439">
        <v>858</v>
      </c>
      <c r="G439">
        <v>4.47</v>
      </c>
      <c r="H439">
        <v>1.1175</v>
      </c>
      <c r="K439">
        <v>0</v>
      </c>
      <c r="L439" t="s">
        <v>9</v>
      </c>
      <c r="M439" t="s">
        <v>35</v>
      </c>
      <c r="N439">
        <v>1.8425</v>
      </c>
    </row>
    <row r="440" spans="1:14">
      <c r="A440" t="s">
        <v>456</v>
      </c>
      <c r="B440" t="s">
        <v>20</v>
      </c>
      <c r="C440">
        <v>0</v>
      </c>
      <c r="D440" t="s">
        <v>10</v>
      </c>
      <c r="E440">
        <v>472</v>
      </c>
      <c r="F440">
        <v>863</v>
      </c>
      <c r="G440">
        <v>2.19</v>
      </c>
      <c r="H440">
        <v>0.5475</v>
      </c>
      <c r="K440">
        <v>0</v>
      </c>
      <c r="L440" t="s">
        <v>9</v>
      </c>
      <c r="M440" t="s">
        <v>35</v>
      </c>
      <c r="N440">
        <v>0.36</v>
      </c>
    </row>
    <row r="441" spans="1:14">
      <c r="A441" t="s">
        <v>457</v>
      </c>
      <c r="B441" t="s">
        <v>35</v>
      </c>
      <c r="C441">
        <v>0</v>
      </c>
      <c r="D441" t="s">
        <v>10</v>
      </c>
      <c r="E441">
        <v>639</v>
      </c>
      <c r="F441">
        <v>864</v>
      </c>
      <c r="G441">
        <v>2.96</v>
      </c>
      <c r="H441">
        <v>0.74</v>
      </c>
      <c r="K441">
        <v>0</v>
      </c>
      <c r="L441" t="s">
        <v>9</v>
      </c>
      <c r="M441" t="s">
        <v>35</v>
      </c>
      <c r="N441">
        <v>0.9125</v>
      </c>
    </row>
    <row r="442" spans="1:14">
      <c r="A442" t="s">
        <v>458</v>
      </c>
      <c r="B442" t="s">
        <v>18</v>
      </c>
      <c r="C442">
        <v>0</v>
      </c>
      <c r="D442" t="s">
        <v>10</v>
      </c>
      <c r="E442">
        <v>1386</v>
      </c>
      <c r="F442">
        <v>863</v>
      </c>
      <c r="G442">
        <v>6.42</v>
      </c>
      <c r="H442">
        <v>1.605</v>
      </c>
      <c r="K442">
        <v>0</v>
      </c>
      <c r="L442" t="s">
        <v>9</v>
      </c>
      <c r="M442" t="s">
        <v>35</v>
      </c>
      <c r="N442">
        <v>0.3875</v>
      </c>
    </row>
    <row r="443" spans="1:14">
      <c r="A443" t="s">
        <v>459</v>
      </c>
      <c r="B443" t="s">
        <v>22</v>
      </c>
      <c r="C443">
        <v>0</v>
      </c>
      <c r="D443" t="s">
        <v>10</v>
      </c>
      <c r="E443">
        <v>324</v>
      </c>
      <c r="F443">
        <v>862</v>
      </c>
      <c r="G443">
        <v>1.5</v>
      </c>
      <c r="H443">
        <v>0.375</v>
      </c>
      <c r="K443">
        <v>1</v>
      </c>
      <c r="L443" t="s">
        <v>9</v>
      </c>
      <c r="M443" t="s">
        <v>35</v>
      </c>
      <c r="N443">
        <v>1.8475</v>
      </c>
    </row>
    <row r="444" spans="1:14">
      <c r="A444" t="s">
        <v>460</v>
      </c>
      <c r="B444" t="s">
        <v>41</v>
      </c>
      <c r="C444">
        <v>0</v>
      </c>
      <c r="D444" t="s">
        <v>9</v>
      </c>
      <c r="E444">
        <v>176</v>
      </c>
      <c r="F444">
        <v>870</v>
      </c>
      <c r="G444">
        <v>0.81</v>
      </c>
      <c r="H444">
        <v>0.2025</v>
      </c>
      <c r="K444">
        <v>1</v>
      </c>
      <c r="L444" t="s">
        <v>9</v>
      </c>
      <c r="M444" t="s">
        <v>35</v>
      </c>
      <c r="N444">
        <v>3.13</v>
      </c>
    </row>
    <row r="445" spans="1:14">
      <c r="A445" t="s">
        <v>461</v>
      </c>
      <c r="B445" t="s">
        <v>8</v>
      </c>
      <c r="C445">
        <v>0</v>
      </c>
      <c r="D445" t="s">
        <v>9</v>
      </c>
      <c r="E445">
        <v>932</v>
      </c>
      <c r="F445">
        <v>870</v>
      </c>
      <c r="G445">
        <v>4.29</v>
      </c>
      <c r="H445">
        <v>1.0725</v>
      </c>
      <c r="K445">
        <v>1</v>
      </c>
      <c r="L445" t="s">
        <v>9</v>
      </c>
      <c r="M445" t="s">
        <v>35</v>
      </c>
      <c r="N445">
        <v>0.7725</v>
      </c>
    </row>
    <row r="446" spans="1:14">
      <c r="A446" t="s">
        <v>462</v>
      </c>
      <c r="B446" t="s">
        <v>8</v>
      </c>
      <c r="C446">
        <v>0</v>
      </c>
      <c r="D446" t="s">
        <v>9</v>
      </c>
      <c r="E446">
        <v>2357</v>
      </c>
      <c r="F446">
        <v>870</v>
      </c>
      <c r="G446">
        <v>10.84</v>
      </c>
      <c r="H446">
        <v>2.71</v>
      </c>
      <c r="K446">
        <v>1</v>
      </c>
      <c r="L446" t="s">
        <v>9</v>
      </c>
      <c r="M446" t="s">
        <v>35</v>
      </c>
      <c r="N446">
        <v>1.5275</v>
      </c>
    </row>
    <row r="447" spans="1:14">
      <c r="A447" t="s">
        <v>463</v>
      </c>
      <c r="B447" t="s">
        <v>41</v>
      </c>
      <c r="C447">
        <v>0</v>
      </c>
      <c r="D447" t="s">
        <v>9</v>
      </c>
      <c r="E447">
        <v>109</v>
      </c>
      <c r="F447">
        <v>869</v>
      </c>
      <c r="G447">
        <v>0.5</v>
      </c>
      <c r="H447">
        <v>0.125</v>
      </c>
      <c r="K447">
        <v>1</v>
      </c>
      <c r="L447" t="s">
        <v>9</v>
      </c>
      <c r="M447" t="s">
        <v>35</v>
      </c>
      <c r="N447">
        <v>0.65</v>
      </c>
    </row>
    <row r="448" spans="1:14">
      <c r="A448" t="s">
        <v>464</v>
      </c>
      <c r="B448" t="s">
        <v>13</v>
      </c>
      <c r="C448">
        <v>0</v>
      </c>
      <c r="D448" t="s">
        <v>9</v>
      </c>
      <c r="E448">
        <v>370</v>
      </c>
      <c r="F448">
        <v>867</v>
      </c>
      <c r="G448">
        <v>1.71</v>
      </c>
      <c r="H448">
        <v>0.4275</v>
      </c>
      <c r="K448">
        <v>2</v>
      </c>
      <c r="L448" t="s">
        <v>9</v>
      </c>
      <c r="M448" t="s">
        <v>35</v>
      </c>
      <c r="N448">
        <v>2.46</v>
      </c>
    </row>
    <row r="449" spans="1:14">
      <c r="A449" t="s">
        <v>465</v>
      </c>
      <c r="B449" t="s">
        <v>16</v>
      </c>
      <c r="C449">
        <v>0</v>
      </c>
      <c r="D449" t="s">
        <v>9</v>
      </c>
      <c r="E449">
        <v>542</v>
      </c>
      <c r="F449">
        <v>871</v>
      </c>
      <c r="G449">
        <v>2.49</v>
      </c>
      <c r="H449">
        <v>0.6225</v>
      </c>
      <c r="K449">
        <v>2</v>
      </c>
      <c r="L449" t="s">
        <v>9</v>
      </c>
      <c r="M449" t="s">
        <v>35</v>
      </c>
      <c r="N449">
        <v>4.2575</v>
      </c>
    </row>
    <row r="450" spans="1:14">
      <c r="A450" t="s">
        <v>466</v>
      </c>
      <c r="B450" t="s">
        <v>20</v>
      </c>
      <c r="C450">
        <v>0</v>
      </c>
      <c r="D450" t="s">
        <v>9</v>
      </c>
      <c r="E450">
        <v>1841</v>
      </c>
      <c r="F450">
        <v>870</v>
      </c>
      <c r="G450">
        <v>8.46</v>
      </c>
      <c r="H450">
        <v>2.115</v>
      </c>
      <c r="K450">
        <v>2</v>
      </c>
      <c r="L450" t="s">
        <v>9</v>
      </c>
      <c r="M450" t="s">
        <v>35</v>
      </c>
      <c r="N450">
        <v>0.9675</v>
      </c>
    </row>
    <row r="451" spans="1:14">
      <c r="A451" t="s">
        <v>467</v>
      </c>
      <c r="B451" t="s">
        <v>35</v>
      </c>
      <c r="C451">
        <v>0</v>
      </c>
      <c r="D451" t="s">
        <v>9</v>
      </c>
      <c r="E451">
        <v>1604</v>
      </c>
      <c r="F451">
        <v>870</v>
      </c>
      <c r="G451">
        <v>7.37</v>
      </c>
      <c r="H451">
        <v>1.8425</v>
      </c>
      <c r="K451">
        <v>2</v>
      </c>
      <c r="L451" t="s">
        <v>9</v>
      </c>
      <c r="M451" t="s">
        <v>35</v>
      </c>
      <c r="N451">
        <v>2.1425</v>
      </c>
    </row>
    <row r="452" spans="1:14">
      <c r="A452" t="s">
        <v>468</v>
      </c>
      <c r="B452" t="s">
        <v>18</v>
      </c>
      <c r="C452">
        <v>0</v>
      </c>
      <c r="D452" t="s">
        <v>9</v>
      </c>
      <c r="E452">
        <v>1191</v>
      </c>
      <c r="F452">
        <v>841</v>
      </c>
      <c r="G452">
        <v>5.66</v>
      </c>
      <c r="H452">
        <v>1.415</v>
      </c>
      <c r="K452">
        <v>2</v>
      </c>
      <c r="L452" t="s">
        <v>9</v>
      </c>
      <c r="M452" t="s">
        <v>35</v>
      </c>
      <c r="N452">
        <v>0.8275</v>
      </c>
    </row>
    <row r="453" spans="1:14">
      <c r="A453" t="s">
        <v>469</v>
      </c>
      <c r="B453" t="s">
        <v>22</v>
      </c>
      <c r="C453">
        <v>0</v>
      </c>
      <c r="D453" t="s">
        <v>9</v>
      </c>
      <c r="E453">
        <v>282</v>
      </c>
      <c r="F453">
        <v>841</v>
      </c>
      <c r="G453">
        <v>1.34</v>
      </c>
      <c r="H453">
        <v>0.335</v>
      </c>
      <c r="K453">
        <v>3</v>
      </c>
      <c r="L453" t="s">
        <v>9</v>
      </c>
      <c r="M453" t="s">
        <v>35</v>
      </c>
      <c r="N453">
        <v>3</v>
      </c>
    </row>
    <row r="454" spans="1:14">
      <c r="A454" t="s">
        <v>470</v>
      </c>
      <c r="B454" t="s">
        <v>8</v>
      </c>
      <c r="C454">
        <v>0</v>
      </c>
      <c r="D454" t="s">
        <v>9</v>
      </c>
      <c r="E454">
        <v>603</v>
      </c>
      <c r="F454">
        <v>843</v>
      </c>
      <c r="G454">
        <v>2.86</v>
      </c>
      <c r="H454">
        <v>0.715</v>
      </c>
      <c r="K454">
        <v>3</v>
      </c>
      <c r="L454" t="s">
        <v>9</v>
      </c>
      <c r="M454" t="s">
        <v>35</v>
      </c>
      <c r="N454">
        <v>4.85</v>
      </c>
    </row>
    <row r="455" spans="1:14">
      <c r="A455" t="s">
        <v>471</v>
      </c>
      <c r="B455" t="s">
        <v>41</v>
      </c>
      <c r="C455">
        <v>0</v>
      </c>
      <c r="D455" t="s">
        <v>9</v>
      </c>
      <c r="E455">
        <v>236</v>
      </c>
      <c r="F455">
        <v>870</v>
      </c>
      <c r="G455">
        <v>1.09</v>
      </c>
      <c r="H455">
        <v>0.2725</v>
      </c>
      <c r="K455">
        <v>3</v>
      </c>
      <c r="L455" t="s">
        <v>9</v>
      </c>
      <c r="M455" t="s">
        <v>35</v>
      </c>
      <c r="N455">
        <v>1.4425</v>
      </c>
    </row>
    <row r="456" spans="1:14">
      <c r="A456" t="s">
        <v>472</v>
      </c>
      <c r="B456" t="s">
        <v>13</v>
      </c>
      <c r="C456">
        <v>0</v>
      </c>
      <c r="D456" t="s">
        <v>9</v>
      </c>
      <c r="E456">
        <v>1486</v>
      </c>
      <c r="F456">
        <v>857</v>
      </c>
      <c r="G456">
        <v>6.94</v>
      </c>
      <c r="H456">
        <v>1.735</v>
      </c>
      <c r="K456">
        <v>3</v>
      </c>
      <c r="L456" t="s">
        <v>9</v>
      </c>
      <c r="M456" t="s">
        <v>35</v>
      </c>
      <c r="N456">
        <v>2.9875</v>
      </c>
    </row>
    <row r="457" spans="1:14">
      <c r="A457" t="s">
        <v>473</v>
      </c>
      <c r="B457" t="s">
        <v>16</v>
      </c>
      <c r="C457">
        <v>0</v>
      </c>
      <c r="D457" t="s">
        <v>9</v>
      </c>
      <c r="E457">
        <v>1361</v>
      </c>
      <c r="F457">
        <v>841</v>
      </c>
      <c r="G457">
        <v>6.47</v>
      </c>
      <c r="H457">
        <v>1.6175</v>
      </c>
      <c r="K457">
        <v>3</v>
      </c>
      <c r="L457" t="s">
        <v>9</v>
      </c>
      <c r="M457" t="s">
        <v>35</v>
      </c>
      <c r="N457">
        <v>1.2925</v>
      </c>
    </row>
    <row r="458" spans="1:14">
      <c r="A458" t="s">
        <v>474</v>
      </c>
      <c r="B458" t="s">
        <v>20</v>
      </c>
      <c r="C458">
        <v>0</v>
      </c>
      <c r="D458" t="s">
        <v>9</v>
      </c>
      <c r="E458">
        <v>975</v>
      </c>
      <c r="F458">
        <v>841</v>
      </c>
      <c r="G458">
        <v>4.64</v>
      </c>
      <c r="H458">
        <v>1.16</v>
      </c>
      <c r="K458">
        <v>0</v>
      </c>
      <c r="L458" t="s">
        <v>9</v>
      </c>
      <c r="M458" t="s">
        <v>20</v>
      </c>
      <c r="N458">
        <v>3.0075</v>
      </c>
    </row>
    <row r="459" spans="1:14">
      <c r="A459" t="s">
        <v>475</v>
      </c>
      <c r="B459" t="s">
        <v>35</v>
      </c>
      <c r="C459">
        <v>0</v>
      </c>
      <c r="D459" t="s">
        <v>9</v>
      </c>
      <c r="E459">
        <v>310</v>
      </c>
      <c r="F459">
        <v>861</v>
      </c>
      <c r="G459">
        <v>1.44</v>
      </c>
      <c r="H459">
        <v>0.36</v>
      </c>
      <c r="K459">
        <v>0</v>
      </c>
      <c r="L459" t="s">
        <v>9</v>
      </c>
      <c r="M459" t="s">
        <v>20</v>
      </c>
      <c r="N459">
        <v>2.115</v>
      </c>
    </row>
    <row r="460" spans="1:14">
      <c r="A460" t="s">
        <v>476</v>
      </c>
      <c r="B460" t="s">
        <v>18</v>
      </c>
      <c r="C460">
        <v>0</v>
      </c>
      <c r="D460" t="s">
        <v>9</v>
      </c>
      <c r="E460">
        <v>174</v>
      </c>
      <c r="F460">
        <v>867</v>
      </c>
      <c r="G460">
        <v>0.8</v>
      </c>
      <c r="H460">
        <v>0.2</v>
      </c>
      <c r="K460">
        <v>0</v>
      </c>
      <c r="L460" t="s">
        <v>9</v>
      </c>
      <c r="M460" t="s">
        <v>20</v>
      </c>
      <c r="N460">
        <v>1.16</v>
      </c>
    </row>
    <row r="461" spans="1:14">
      <c r="A461" t="s">
        <v>477</v>
      </c>
      <c r="B461" t="s">
        <v>22</v>
      </c>
      <c r="C461">
        <v>0</v>
      </c>
      <c r="D461" t="s">
        <v>9</v>
      </c>
      <c r="E461">
        <v>508</v>
      </c>
      <c r="F461">
        <v>867</v>
      </c>
      <c r="G461">
        <v>2.34</v>
      </c>
      <c r="H461">
        <v>0.585</v>
      </c>
      <c r="K461">
        <v>1</v>
      </c>
      <c r="L461" t="s">
        <v>9</v>
      </c>
      <c r="M461" t="s">
        <v>20</v>
      </c>
      <c r="N461">
        <v>5.23</v>
      </c>
    </row>
    <row r="462" spans="1:14">
      <c r="A462" t="s">
        <v>478</v>
      </c>
      <c r="B462" t="s">
        <v>8</v>
      </c>
      <c r="C462">
        <v>0</v>
      </c>
      <c r="D462" t="s">
        <v>9</v>
      </c>
      <c r="E462">
        <v>518</v>
      </c>
      <c r="F462">
        <v>861</v>
      </c>
      <c r="G462">
        <v>2.41</v>
      </c>
      <c r="H462">
        <v>0.6025</v>
      </c>
      <c r="K462">
        <v>1</v>
      </c>
      <c r="L462" t="s">
        <v>9</v>
      </c>
      <c r="M462" t="s">
        <v>20</v>
      </c>
      <c r="N462">
        <v>3.565</v>
      </c>
    </row>
    <row r="463" spans="1:14">
      <c r="A463" t="s">
        <v>479</v>
      </c>
      <c r="B463" t="s">
        <v>41</v>
      </c>
      <c r="C463">
        <v>0</v>
      </c>
      <c r="D463" t="s">
        <v>9</v>
      </c>
      <c r="E463">
        <v>202</v>
      </c>
      <c r="F463">
        <v>867</v>
      </c>
      <c r="G463">
        <v>0.93</v>
      </c>
      <c r="H463">
        <v>0.2325</v>
      </c>
      <c r="K463">
        <v>1</v>
      </c>
      <c r="L463" t="s">
        <v>9</v>
      </c>
      <c r="M463" t="s">
        <v>20</v>
      </c>
      <c r="N463">
        <v>1.77</v>
      </c>
    </row>
    <row r="464" spans="1:14">
      <c r="A464" t="s">
        <v>480</v>
      </c>
      <c r="B464" t="s">
        <v>13</v>
      </c>
      <c r="C464">
        <v>0</v>
      </c>
      <c r="D464" t="s">
        <v>9</v>
      </c>
      <c r="E464">
        <v>302</v>
      </c>
      <c r="F464">
        <v>861</v>
      </c>
      <c r="G464">
        <v>1.4</v>
      </c>
      <c r="H464">
        <v>0.35</v>
      </c>
      <c r="K464">
        <v>1</v>
      </c>
      <c r="L464" t="s">
        <v>9</v>
      </c>
      <c r="M464" t="s">
        <v>20</v>
      </c>
      <c r="N464">
        <v>2.0275</v>
      </c>
    </row>
    <row r="465" spans="1:14">
      <c r="A465" t="s">
        <v>481</v>
      </c>
      <c r="B465" t="s">
        <v>16</v>
      </c>
      <c r="C465">
        <v>0</v>
      </c>
      <c r="D465" t="s">
        <v>9</v>
      </c>
      <c r="E465">
        <v>359</v>
      </c>
      <c r="F465">
        <v>860</v>
      </c>
      <c r="G465">
        <v>1.67</v>
      </c>
      <c r="H465">
        <v>0.4175</v>
      </c>
      <c r="K465">
        <v>1</v>
      </c>
      <c r="L465" t="s">
        <v>9</v>
      </c>
      <c r="M465" t="s">
        <v>20</v>
      </c>
      <c r="N465">
        <v>5.705</v>
      </c>
    </row>
    <row r="466" spans="1:14">
      <c r="A466" t="s">
        <v>482</v>
      </c>
      <c r="B466" t="s">
        <v>14</v>
      </c>
      <c r="C466">
        <v>0</v>
      </c>
      <c r="D466" t="s">
        <v>9</v>
      </c>
      <c r="E466">
        <v>959</v>
      </c>
      <c r="F466">
        <v>858</v>
      </c>
      <c r="G466">
        <v>4.47</v>
      </c>
      <c r="H466">
        <v>1.1175</v>
      </c>
      <c r="K466">
        <v>2</v>
      </c>
      <c r="L466" t="s">
        <v>9</v>
      </c>
      <c r="M466" t="s">
        <v>20</v>
      </c>
      <c r="N466">
        <v>5.925</v>
      </c>
    </row>
    <row r="467" spans="1:14">
      <c r="A467" t="s">
        <v>483</v>
      </c>
      <c r="B467" t="s">
        <v>35</v>
      </c>
      <c r="C467">
        <v>0</v>
      </c>
      <c r="D467" t="s">
        <v>9</v>
      </c>
      <c r="E467">
        <v>781</v>
      </c>
      <c r="F467">
        <v>856</v>
      </c>
      <c r="G467">
        <v>3.65</v>
      </c>
      <c r="H467">
        <v>0.9125</v>
      </c>
      <c r="K467">
        <v>2</v>
      </c>
      <c r="L467" t="s">
        <v>9</v>
      </c>
      <c r="M467" t="s">
        <v>20</v>
      </c>
      <c r="N467">
        <v>4.2</v>
      </c>
    </row>
    <row r="468" spans="1:14">
      <c r="A468" t="s">
        <v>484</v>
      </c>
      <c r="B468" t="s">
        <v>18</v>
      </c>
      <c r="C468">
        <v>0</v>
      </c>
      <c r="D468" t="s">
        <v>9</v>
      </c>
      <c r="E468">
        <v>817</v>
      </c>
      <c r="F468">
        <v>841</v>
      </c>
      <c r="G468">
        <v>3.89</v>
      </c>
      <c r="H468">
        <v>0.9725</v>
      </c>
      <c r="K468">
        <v>2</v>
      </c>
      <c r="L468" t="s">
        <v>9</v>
      </c>
      <c r="M468" t="s">
        <v>20</v>
      </c>
      <c r="N468">
        <v>2.06</v>
      </c>
    </row>
    <row r="469" spans="1:14">
      <c r="A469" t="s">
        <v>485</v>
      </c>
      <c r="B469" t="s">
        <v>22</v>
      </c>
      <c r="C469">
        <v>0</v>
      </c>
      <c r="D469" t="s">
        <v>9</v>
      </c>
      <c r="E469">
        <v>419</v>
      </c>
      <c r="F469">
        <v>870</v>
      </c>
      <c r="G469">
        <v>1.93</v>
      </c>
      <c r="H469">
        <v>0.4825</v>
      </c>
      <c r="K469">
        <v>2</v>
      </c>
      <c r="L469" t="s">
        <v>9</v>
      </c>
      <c r="M469" t="s">
        <v>20</v>
      </c>
      <c r="N469">
        <v>2.835</v>
      </c>
    </row>
    <row r="470" spans="1:14">
      <c r="A470" t="s">
        <v>486</v>
      </c>
      <c r="B470" t="s">
        <v>8</v>
      </c>
      <c r="C470">
        <v>0</v>
      </c>
      <c r="D470" t="s">
        <v>9</v>
      </c>
      <c r="E470">
        <v>676</v>
      </c>
      <c r="F470">
        <v>841</v>
      </c>
      <c r="G470">
        <v>3.22</v>
      </c>
      <c r="H470">
        <v>0.805</v>
      </c>
      <c r="K470">
        <v>2</v>
      </c>
      <c r="L470" t="s">
        <v>9</v>
      </c>
      <c r="M470" t="s">
        <v>20</v>
      </c>
      <c r="N470">
        <v>6.83</v>
      </c>
    </row>
    <row r="471" spans="1:14">
      <c r="A471" t="s">
        <v>487</v>
      </c>
      <c r="B471" t="s">
        <v>41</v>
      </c>
      <c r="C471">
        <v>0</v>
      </c>
      <c r="D471" t="s">
        <v>9</v>
      </c>
      <c r="E471">
        <v>285</v>
      </c>
      <c r="F471">
        <v>843</v>
      </c>
      <c r="G471">
        <v>1.35</v>
      </c>
      <c r="H471">
        <v>0.3375</v>
      </c>
      <c r="K471">
        <v>3</v>
      </c>
      <c r="L471" t="s">
        <v>9</v>
      </c>
      <c r="M471" t="s">
        <v>20</v>
      </c>
      <c r="N471">
        <v>6.7475</v>
      </c>
    </row>
    <row r="472" spans="1:14">
      <c r="A472" t="s">
        <v>488</v>
      </c>
      <c r="B472" t="s">
        <v>13</v>
      </c>
      <c r="C472">
        <v>0</v>
      </c>
      <c r="D472" t="s">
        <v>9</v>
      </c>
      <c r="E472">
        <v>2214</v>
      </c>
      <c r="F472">
        <v>841</v>
      </c>
      <c r="G472">
        <v>10.53</v>
      </c>
      <c r="H472">
        <v>2.6325</v>
      </c>
      <c r="K472">
        <v>3</v>
      </c>
      <c r="L472" t="s">
        <v>9</v>
      </c>
      <c r="M472" t="s">
        <v>20</v>
      </c>
      <c r="N472">
        <v>4.395</v>
      </c>
    </row>
    <row r="473" spans="1:14">
      <c r="A473" t="s">
        <v>489</v>
      </c>
      <c r="B473" t="s">
        <v>16</v>
      </c>
      <c r="C473">
        <v>0</v>
      </c>
      <c r="D473" t="s">
        <v>9</v>
      </c>
      <c r="E473">
        <v>615</v>
      </c>
      <c r="F473">
        <v>870</v>
      </c>
      <c r="G473">
        <v>2.83</v>
      </c>
      <c r="H473">
        <v>0.7075</v>
      </c>
      <c r="K473">
        <v>3</v>
      </c>
      <c r="L473" t="s">
        <v>9</v>
      </c>
      <c r="M473" t="s">
        <v>20</v>
      </c>
      <c r="N473">
        <v>3.0675</v>
      </c>
    </row>
    <row r="474" spans="1:14">
      <c r="A474" t="s">
        <v>490</v>
      </c>
      <c r="B474" t="s">
        <v>14</v>
      </c>
      <c r="C474">
        <v>0</v>
      </c>
      <c r="D474" t="s">
        <v>9</v>
      </c>
      <c r="E474">
        <v>3209</v>
      </c>
      <c r="F474">
        <v>863</v>
      </c>
      <c r="G474">
        <v>14.87</v>
      </c>
      <c r="H474">
        <v>3.7175</v>
      </c>
      <c r="K474">
        <v>3</v>
      </c>
      <c r="L474" t="s">
        <v>9</v>
      </c>
      <c r="M474" t="s">
        <v>20</v>
      </c>
      <c r="N474">
        <v>3.9375</v>
      </c>
    </row>
    <row r="475" spans="1:14">
      <c r="A475" t="s">
        <v>491</v>
      </c>
      <c r="B475" t="s">
        <v>35</v>
      </c>
      <c r="C475">
        <v>0</v>
      </c>
      <c r="D475" t="s">
        <v>9</v>
      </c>
      <c r="E475">
        <v>326</v>
      </c>
      <c r="F475">
        <v>841</v>
      </c>
      <c r="G475">
        <v>1.55</v>
      </c>
      <c r="H475">
        <v>0.3875</v>
      </c>
      <c r="K475">
        <v>3</v>
      </c>
      <c r="L475" t="s">
        <v>9</v>
      </c>
      <c r="M475" t="s">
        <v>20</v>
      </c>
      <c r="N475">
        <v>9.72</v>
      </c>
    </row>
    <row r="476" spans="1:14">
      <c r="A476" t="s">
        <v>492</v>
      </c>
      <c r="B476" t="s">
        <v>18</v>
      </c>
      <c r="C476">
        <v>0</v>
      </c>
      <c r="D476" t="s">
        <v>9</v>
      </c>
      <c r="E476">
        <v>552</v>
      </c>
      <c r="F476">
        <v>844</v>
      </c>
      <c r="G476">
        <v>2.62</v>
      </c>
      <c r="H476">
        <v>0.655</v>
      </c>
      <c r="K476">
        <v>0</v>
      </c>
      <c r="L476" t="s">
        <v>9</v>
      </c>
      <c r="M476" t="s">
        <v>14</v>
      </c>
      <c r="N476">
        <v>1.1175</v>
      </c>
    </row>
    <row r="477" spans="1:14">
      <c r="A477" t="s">
        <v>493</v>
      </c>
      <c r="B477" t="s">
        <v>22</v>
      </c>
      <c r="C477">
        <v>0</v>
      </c>
      <c r="D477" t="s">
        <v>9</v>
      </c>
      <c r="E477">
        <v>164</v>
      </c>
      <c r="F477">
        <v>841</v>
      </c>
      <c r="G477">
        <v>0.78</v>
      </c>
      <c r="H477">
        <v>0.195</v>
      </c>
      <c r="K477">
        <v>0</v>
      </c>
      <c r="L477" t="s">
        <v>9</v>
      </c>
      <c r="M477" t="s">
        <v>14</v>
      </c>
      <c r="N477">
        <v>3.7175</v>
      </c>
    </row>
  </sheetData>
  <sortState ref="K2:N477">
    <sortCondition descending="1" ref="L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X1" workbookViewId="0">
      <selection pane="topLeft" activeCell="AJ1" sqref="AJ1:AM61"/>
    </sheetView>
  </sheetViews>
  <sheetFormatPr baseColWidth="10" defaultRowHeight="15"/>
  <sheetData>
    <row r="1" spans="1:39">
      <c r="A1" t="s">
        <v>2</v>
      </c>
      <c r="B1" t="s">
        <v>3</v>
      </c>
      <c r="C1" t="s">
        <v>1</v>
      </c>
      <c r="D1" t="s">
        <v>6</v>
      </c>
      <c r="F1" t="s">
        <v>2</v>
      </c>
      <c r="G1" t="s">
        <v>3</v>
      </c>
      <c r="H1" t="s">
        <v>1</v>
      </c>
      <c r="I1" t="s">
        <v>6</v>
      </c>
      <c r="K1" t="s">
        <v>2</v>
      </c>
      <c r="L1" t="s">
        <v>3</v>
      </c>
      <c r="M1" t="s">
        <v>1</v>
      </c>
      <c r="N1" t="s">
        <v>6</v>
      </c>
      <c r="P1" t="s">
        <v>2</v>
      </c>
      <c r="Q1" t="s">
        <v>3</v>
      </c>
      <c r="R1" t="s">
        <v>1</v>
      </c>
      <c r="S1" t="s">
        <v>6</v>
      </c>
      <c r="U1" s="1" t="s">
        <v>2</v>
      </c>
      <c r="V1" s="1" t="s">
        <v>3</v>
      </c>
      <c r="W1" s="1" t="s">
        <v>1</v>
      </c>
      <c r="X1" s="1" t="s">
        <v>6</v>
      </c>
      <c r="Z1" s="1" t="s">
        <v>2</v>
      </c>
      <c r="AA1" s="1" t="s">
        <v>3</v>
      </c>
      <c r="AB1" s="1" t="s">
        <v>1</v>
      </c>
      <c r="AC1" s="1" t="s">
        <v>6</v>
      </c>
      <c r="AE1" s="1" t="s">
        <v>2</v>
      </c>
      <c r="AF1" s="1" t="s">
        <v>3</v>
      </c>
      <c r="AG1" s="1" t="s">
        <v>1</v>
      </c>
      <c r="AH1" s="1" t="s">
        <v>6</v>
      </c>
      <c r="AJ1" s="1" t="s">
        <v>2</v>
      </c>
      <c r="AK1" s="1" t="s">
        <v>3</v>
      </c>
      <c r="AL1" s="1" t="s">
        <v>1</v>
      </c>
      <c r="AM1" s="1" t="s">
        <v>6</v>
      </c>
    </row>
    <row r="2" spans="1:39">
      <c r="A2">
        <v>0</v>
      </c>
      <c r="B2" t="s">
        <v>19</v>
      </c>
      <c r="C2" t="s">
        <v>41</v>
      </c>
      <c r="D2">
        <v>0.275</v>
      </c>
      <c r="F2">
        <v>0</v>
      </c>
      <c r="G2" t="s">
        <v>19</v>
      </c>
      <c r="H2" t="s">
        <v>8</v>
      </c>
      <c r="I2">
        <v>1.07</v>
      </c>
      <c r="K2">
        <v>0</v>
      </c>
      <c r="L2" t="s">
        <v>19</v>
      </c>
      <c r="M2" t="s">
        <v>22</v>
      </c>
      <c r="N2">
        <v>0.6175</v>
      </c>
      <c r="P2">
        <v>0</v>
      </c>
      <c r="Q2" t="s">
        <v>19</v>
      </c>
      <c r="R2" t="s">
        <v>13</v>
      </c>
      <c r="S2">
        <v>0.875</v>
      </c>
      <c r="U2">
        <v>0</v>
      </c>
      <c r="V2" t="s">
        <v>19</v>
      </c>
      <c r="W2" t="s">
        <v>16</v>
      </c>
      <c r="X2">
        <v>0.8525</v>
      </c>
      <c r="Z2">
        <v>0</v>
      </c>
      <c r="AA2" t="s">
        <v>19</v>
      </c>
      <c r="AB2" t="s">
        <v>18</v>
      </c>
      <c r="AC2">
        <v>0.74</v>
      </c>
      <c r="AE2">
        <v>0</v>
      </c>
      <c r="AF2" t="s">
        <v>19</v>
      </c>
      <c r="AG2" t="s">
        <v>35</v>
      </c>
      <c r="AH2">
        <v>0.5175</v>
      </c>
      <c r="AJ2">
        <v>0</v>
      </c>
      <c r="AK2" t="s">
        <v>19</v>
      </c>
      <c r="AL2" t="s">
        <v>20</v>
      </c>
      <c r="AM2">
        <v>1.215</v>
      </c>
    </row>
    <row r="3" spans="1:39">
      <c r="A3">
        <v>0</v>
      </c>
      <c r="B3" t="s">
        <v>19</v>
      </c>
      <c r="C3" t="s">
        <v>41</v>
      </c>
      <c r="D3">
        <v>0.0975</v>
      </c>
      <c r="F3">
        <v>0</v>
      </c>
      <c r="G3" t="s">
        <v>19</v>
      </c>
      <c r="H3" t="s">
        <v>8</v>
      </c>
      <c r="I3">
        <v>1.3625</v>
      </c>
      <c r="K3">
        <v>0</v>
      </c>
      <c r="L3" t="s">
        <v>19</v>
      </c>
      <c r="M3" t="s">
        <v>22</v>
      </c>
      <c r="N3">
        <v>0.67</v>
      </c>
      <c r="P3">
        <v>0</v>
      </c>
      <c r="Q3" t="s">
        <v>19</v>
      </c>
      <c r="R3" t="s">
        <v>13</v>
      </c>
      <c r="S3">
        <v>0.715</v>
      </c>
      <c r="U3">
        <v>0</v>
      </c>
      <c r="V3" t="s">
        <v>19</v>
      </c>
      <c r="W3" t="s">
        <v>16</v>
      </c>
      <c r="X3">
        <v>1.3325</v>
      </c>
      <c r="Z3">
        <v>0</v>
      </c>
      <c r="AA3" t="s">
        <v>19</v>
      </c>
      <c r="AB3" t="s">
        <v>18</v>
      </c>
      <c r="AC3">
        <v>0.435</v>
      </c>
      <c r="AE3">
        <v>0</v>
      </c>
      <c r="AF3" t="s">
        <v>19</v>
      </c>
      <c r="AG3" t="s">
        <v>35</v>
      </c>
      <c r="AH3">
        <v>0.815</v>
      </c>
      <c r="AJ3">
        <v>0</v>
      </c>
      <c r="AK3" t="s">
        <v>19</v>
      </c>
      <c r="AL3" t="s">
        <v>20</v>
      </c>
      <c r="AM3">
        <v>1.765</v>
      </c>
    </row>
    <row r="4" spans="1:39">
      <c r="A4">
        <v>0</v>
      </c>
      <c r="B4" t="s">
        <v>19</v>
      </c>
      <c r="C4" t="s">
        <v>41</v>
      </c>
      <c r="D4">
        <v>0.13</v>
      </c>
      <c r="F4">
        <v>0</v>
      </c>
      <c r="G4" t="s">
        <v>19</v>
      </c>
      <c r="H4" t="s">
        <v>8</v>
      </c>
      <c r="I4">
        <v>0.745</v>
      </c>
      <c r="K4">
        <v>0</v>
      </c>
      <c r="L4" t="s">
        <v>19</v>
      </c>
      <c r="M4" t="s">
        <v>22</v>
      </c>
      <c r="N4">
        <v>0.6475</v>
      </c>
      <c r="P4">
        <v>0</v>
      </c>
      <c r="Q4" t="s">
        <v>19</v>
      </c>
      <c r="R4" t="s">
        <v>13</v>
      </c>
      <c r="S4">
        <v>0.4725</v>
      </c>
      <c r="U4">
        <v>0</v>
      </c>
      <c r="V4" t="s">
        <v>19</v>
      </c>
      <c r="W4" t="s">
        <v>16</v>
      </c>
      <c r="X4">
        <v>0.72</v>
      </c>
      <c r="Z4">
        <v>0</v>
      </c>
      <c r="AA4" t="s">
        <v>19</v>
      </c>
      <c r="AB4" t="s">
        <v>18</v>
      </c>
      <c r="AC4">
        <v>1.25</v>
      </c>
      <c r="AE4">
        <v>0</v>
      </c>
      <c r="AF4" t="s">
        <v>19</v>
      </c>
      <c r="AG4" t="s">
        <v>35</v>
      </c>
      <c r="AH4">
        <v>0.95</v>
      </c>
      <c r="AJ4">
        <v>0</v>
      </c>
      <c r="AK4" t="s">
        <v>19</v>
      </c>
      <c r="AL4" t="s">
        <v>20</v>
      </c>
      <c r="AM4">
        <v>1.37</v>
      </c>
    </row>
    <row r="5" spans="1:39">
      <c r="A5">
        <v>0</v>
      </c>
      <c r="B5" t="s">
        <v>19</v>
      </c>
      <c r="C5" t="s">
        <v>41</v>
      </c>
      <c r="D5">
        <v>0.1675</v>
      </c>
      <c r="F5">
        <v>0</v>
      </c>
      <c r="G5" t="s">
        <v>19</v>
      </c>
      <c r="H5" t="s">
        <v>8</v>
      </c>
      <c r="I5">
        <v>2.775</v>
      </c>
      <c r="K5">
        <v>0</v>
      </c>
      <c r="L5" t="s">
        <v>19</v>
      </c>
      <c r="M5" t="s">
        <v>22</v>
      </c>
      <c r="N5">
        <v>1.4175</v>
      </c>
      <c r="P5">
        <v>0</v>
      </c>
      <c r="Q5" t="s">
        <v>19</v>
      </c>
      <c r="R5" t="s">
        <v>13</v>
      </c>
      <c r="S5">
        <v>1.2275</v>
      </c>
      <c r="U5">
        <v>0</v>
      </c>
      <c r="V5" t="s">
        <v>19</v>
      </c>
      <c r="W5" t="s">
        <v>16</v>
      </c>
      <c r="X5">
        <v>2.06</v>
      </c>
      <c r="Z5">
        <v>0</v>
      </c>
      <c r="AA5" t="s">
        <v>19</v>
      </c>
      <c r="AB5" t="s">
        <v>18</v>
      </c>
      <c r="AC5">
        <v>0.665</v>
      </c>
      <c r="AE5">
        <v>0</v>
      </c>
      <c r="AF5" t="s">
        <v>19</v>
      </c>
      <c r="AG5" t="s">
        <v>35</v>
      </c>
      <c r="AH5">
        <v>0.6825</v>
      </c>
      <c r="AJ5">
        <v>0</v>
      </c>
      <c r="AK5" t="s">
        <v>19</v>
      </c>
      <c r="AL5" t="s">
        <v>20</v>
      </c>
      <c r="AM5">
        <v>2.1075</v>
      </c>
    </row>
    <row r="6" spans="1:39">
      <c r="A6">
        <v>0</v>
      </c>
      <c r="B6" t="s">
        <v>10</v>
      </c>
      <c r="C6" t="s">
        <v>41</v>
      </c>
      <c r="D6">
        <v>0.195</v>
      </c>
      <c r="F6">
        <v>0</v>
      </c>
      <c r="G6" t="s">
        <v>19</v>
      </c>
      <c r="H6" t="s">
        <v>8</v>
      </c>
      <c r="I6">
        <v>1.3475</v>
      </c>
      <c r="K6">
        <v>0</v>
      </c>
      <c r="L6" t="s">
        <v>19</v>
      </c>
      <c r="M6" t="s">
        <v>22</v>
      </c>
      <c r="N6">
        <v>0.5425</v>
      </c>
      <c r="P6">
        <v>0</v>
      </c>
      <c r="Q6" t="s">
        <v>19</v>
      </c>
      <c r="R6" t="s">
        <v>13</v>
      </c>
      <c r="S6">
        <v>0.9175</v>
      </c>
      <c r="U6">
        <v>0</v>
      </c>
      <c r="V6" t="s">
        <v>19</v>
      </c>
      <c r="W6" t="s">
        <v>16</v>
      </c>
      <c r="X6">
        <v>0.6275</v>
      </c>
      <c r="Z6">
        <v>0</v>
      </c>
      <c r="AA6" t="s">
        <v>19</v>
      </c>
      <c r="AB6" t="s">
        <v>18</v>
      </c>
      <c r="AC6">
        <v>1.8</v>
      </c>
      <c r="AE6">
        <v>0</v>
      </c>
      <c r="AF6" t="s">
        <v>19</v>
      </c>
      <c r="AG6" t="s">
        <v>35</v>
      </c>
      <c r="AH6">
        <v>0.645</v>
      </c>
      <c r="AJ6">
        <v>0</v>
      </c>
      <c r="AK6" t="s">
        <v>19</v>
      </c>
      <c r="AL6" t="s">
        <v>20</v>
      </c>
      <c r="AM6">
        <v>1.5925</v>
      </c>
    </row>
    <row r="7" spans="1:39">
      <c r="A7">
        <v>0</v>
      </c>
      <c r="B7" t="s">
        <v>10</v>
      </c>
      <c r="C7" t="s">
        <v>41</v>
      </c>
      <c r="D7">
        <v>0.2425</v>
      </c>
      <c r="F7">
        <v>0</v>
      </c>
      <c r="G7" t="s">
        <v>10</v>
      </c>
      <c r="H7" t="s">
        <v>8</v>
      </c>
      <c r="I7">
        <v>0.3725</v>
      </c>
      <c r="K7">
        <v>0</v>
      </c>
      <c r="L7" t="s">
        <v>10</v>
      </c>
      <c r="M7" t="s">
        <v>22</v>
      </c>
      <c r="N7">
        <v>0.475</v>
      </c>
      <c r="P7">
        <v>0</v>
      </c>
      <c r="Q7" t="s">
        <v>10</v>
      </c>
      <c r="R7" t="s">
        <v>13</v>
      </c>
      <c r="S7">
        <v>1.0225</v>
      </c>
      <c r="U7">
        <v>0</v>
      </c>
      <c r="V7" t="s">
        <v>10</v>
      </c>
      <c r="W7" t="s">
        <v>16</v>
      </c>
      <c r="X7">
        <v>0.7325</v>
      </c>
      <c r="Z7">
        <v>0</v>
      </c>
      <c r="AA7" t="s">
        <v>10</v>
      </c>
      <c r="AB7" t="s">
        <v>18</v>
      </c>
      <c r="AC7">
        <v>1.365</v>
      </c>
      <c r="AE7">
        <v>0</v>
      </c>
      <c r="AF7" t="s">
        <v>10</v>
      </c>
      <c r="AG7" t="s">
        <v>35</v>
      </c>
      <c r="AH7">
        <v>0.685</v>
      </c>
      <c r="AJ7">
        <v>0</v>
      </c>
      <c r="AK7" t="s">
        <v>10</v>
      </c>
      <c r="AL7" t="s">
        <v>20</v>
      </c>
      <c r="AM7">
        <v>1.1425</v>
      </c>
    </row>
    <row r="8" spans="1:39">
      <c r="A8">
        <v>0</v>
      </c>
      <c r="B8" t="s">
        <v>10</v>
      </c>
      <c r="C8" t="s">
        <v>41</v>
      </c>
      <c r="D8">
        <v>0.5</v>
      </c>
      <c r="F8">
        <v>0</v>
      </c>
      <c r="G8" t="s">
        <v>10</v>
      </c>
      <c r="H8" t="s">
        <v>8</v>
      </c>
      <c r="I8">
        <v>0.535</v>
      </c>
      <c r="K8">
        <v>0</v>
      </c>
      <c r="L8" t="s">
        <v>10</v>
      </c>
      <c r="M8" t="s">
        <v>22</v>
      </c>
      <c r="N8">
        <v>2.6525</v>
      </c>
      <c r="P8">
        <v>0</v>
      </c>
      <c r="Q8" t="s">
        <v>10</v>
      </c>
      <c r="R8" t="s">
        <v>13</v>
      </c>
      <c r="S8">
        <v>0.68</v>
      </c>
      <c r="U8">
        <v>0</v>
      </c>
      <c r="V8" t="s">
        <v>10</v>
      </c>
      <c r="W8" t="s">
        <v>16</v>
      </c>
      <c r="X8">
        <v>1.2625</v>
      </c>
      <c r="Z8">
        <v>0</v>
      </c>
      <c r="AA8" t="s">
        <v>10</v>
      </c>
      <c r="AB8" t="s">
        <v>18</v>
      </c>
      <c r="AC8">
        <v>0.715</v>
      </c>
      <c r="AE8">
        <v>0</v>
      </c>
      <c r="AF8" t="s">
        <v>10</v>
      </c>
      <c r="AG8" t="s">
        <v>35</v>
      </c>
      <c r="AH8">
        <v>0.76</v>
      </c>
      <c r="AJ8">
        <v>0</v>
      </c>
      <c r="AK8" t="s">
        <v>10</v>
      </c>
      <c r="AL8" t="s">
        <v>20</v>
      </c>
      <c r="AM8">
        <v>1.045</v>
      </c>
    </row>
    <row r="9" spans="1:39">
      <c r="A9">
        <v>0</v>
      </c>
      <c r="B9" t="s">
        <v>10</v>
      </c>
      <c r="C9" t="s">
        <v>41</v>
      </c>
      <c r="D9">
        <v>0.2725</v>
      </c>
      <c r="F9">
        <v>0</v>
      </c>
      <c r="G9" t="s">
        <v>10</v>
      </c>
      <c r="H9" t="s">
        <v>8</v>
      </c>
      <c r="I9">
        <v>0.225</v>
      </c>
      <c r="K9">
        <v>0</v>
      </c>
      <c r="L9" t="s">
        <v>10</v>
      </c>
      <c r="M9" t="s">
        <v>22</v>
      </c>
      <c r="N9">
        <v>0.7875</v>
      </c>
      <c r="P9">
        <v>0</v>
      </c>
      <c r="Q9" t="s">
        <v>10</v>
      </c>
      <c r="R9" t="s">
        <v>13</v>
      </c>
      <c r="S9">
        <v>0.115</v>
      </c>
      <c r="U9">
        <v>0</v>
      </c>
      <c r="V9" t="s">
        <v>10</v>
      </c>
      <c r="W9" t="s">
        <v>16</v>
      </c>
      <c r="X9">
        <v>1.055</v>
      </c>
      <c r="Z9">
        <v>0</v>
      </c>
      <c r="AA9" t="s">
        <v>10</v>
      </c>
      <c r="AB9" t="s">
        <v>18</v>
      </c>
      <c r="AC9">
        <v>1.2925</v>
      </c>
      <c r="AE9">
        <v>0</v>
      </c>
      <c r="AF9" t="s">
        <v>10</v>
      </c>
      <c r="AG9" t="s">
        <v>35</v>
      </c>
      <c r="AH9">
        <v>0.475</v>
      </c>
      <c r="AJ9">
        <v>0</v>
      </c>
      <c r="AK9" t="s">
        <v>10</v>
      </c>
      <c r="AL9" t="s">
        <v>20</v>
      </c>
      <c r="AM9">
        <v>0.4625</v>
      </c>
    </row>
    <row r="10" spans="1:39">
      <c r="A10">
        <v>0</v>
      </c>
      <c r="B10" t="s">
        <v>9</v>
      </c>
      <c r="C10" t="s">
        <v>41</v>
      </c>
      <c r="D10">
        <v>0.2025</v>
      </c>
      <c r="F10">
        <v>0</v>
      </c>
      <c r="G10" t="s">
        <v>10</v>
      </c>
      <c r="H10" t="s">
        <v>8</v>
      </c>
      <c r="I10">
        <v>0.0625</v>
      </c>
      <c r="K10">
        <v>0</v>
      </c>
      <c r="L10" t="s">
        <v>10</v>
      </c>
      <c r="M10" t="s">
        <v>22</v>
      </c>
      <c r="N10">
        <v>0.3875</v>
      </c>
      <c r="P10">
        <v>0</v>
      </c>
      <c r="Q10" t="s">
        <v>10</v>
      </c>
      <c r="R10" t="s">
        <v>13</v>
      </c>
      <c r="S10">
        <v>0.4525</v>
      </c>
      <c r="U10">
        <v>0</v>
      </c>
      <c r="V10" t="s">
        <v>10</v>
      </c>
      <c r="W10" t="s">
        <v>16</v>
      </c>
      <c r="X10">
        <v>0.7625</v>
      </c>
      <c r="Z10">
        <v>0</v>
      </c>
      <c r="AA10" t="s">
        <v>10</v>
      </c>
      <c r="AB10" t="s">
        <v>18</v>
      </c>
      <c r="AC10">
        <v>0.6675</v>
      </c>
      <c r="AE10">
        <v>0</v>
      </c>
      <c r="AF10" t="s">
        <v>10</v>
      </c>
      <c r="AG10" t="s">
        <v>35</v>
      </c>
      <c r="AH10">
        <v>0.8725</v>
      </c>
      <c r="AJ10">
        <v>0</v>
      </c>
      <c r="AK10" t="s">
        <v>10</v>
      </c>
      <c r="AL10" t="s">
        <v>20</v>
      </c>
      <c r="AM10">
        <v>2.805</v>
      </c>
    </row>
    <row r="11" spans="1:39">
      <c r="A11">
        <v>0</v>
      </c>
      <c r="B11" t="s">
        <v>9</v>
      </c>
      <c r="C11" t="s">
        <v>41</v>
      </c>
      <c r="D11">
        <v>0.125</v>
      </c>
      <c r="F11">
        <v>0</v>
      </c>
      <c r="G11" t="s">
        <v>10</v>
      </c>
      <c r="H11" t="s">
        <v>8</v>
      </c>
      <c r="I11">
        <v>1.8325</v>
      </c>
      <c r="K11">
        <v>0</v>
      </c>
      <c r="L11" t="s">
        <v>10</v>
      </c>
      <c r="M11" t="s">
        <v>22</v>
      </c>
      <c r="N11">
        <v>0.375</v>
      </c>
      <c r="P11">
        <v>0</v>
      </c>
      <c r="Q11" t="s">
        <v>9</v>
      </c>
      <c r="R11" t="s">
        <v>13</v>
      </c>
      <c r="S11">
        <v>0.1775</v>
      </c>
      <c r="U11">
        <v>0</v>
      </c>
      <c r="V11" t="s">
        <v>10</v>
      </c>
      <c r="W11" t="s">
        <v>16</v>
      </c>
      <c r="X11">
        <v>1.1175</v>
      </c>
      <c r="Z11">
        <v>0</v>
      </c>
      <c r="AA11" t="s">
        <v>10</v>
      </c>
      <c r="AB11" t="s">
        <v>18</v>
      </c>
      <c r="AC11">
        <v>1.605</v>
      </c>
      <c r="AE11">
        <v>0</v>
      </c>
      <c r="AF11" t="s">
        <v>10</v>
      </c>
      <c r="AG11" t="s">
        <v>35</v>
      </c>
      <c r="AH11">
        <v>0.74</v>
      </c>
      <c r="AJ11">
        <v>0</v>
      </c>
      <c r="AK11" t="s">
        <v>10</v>
      </c>
      <c r="AL11" t="s">
        <v>20</v>
      </c>
      <c r="AM11">
        <v>0.5475</v>
      </c>
    </row>
    <row r="12" spans="1:39">
      <c r="A12">
        <v>0</v>
      </c>
      <c r="B12" t="s">
        <v>9</v>
      </c>
      <c r="C12" t="s">
        <v>41</v>
      </c>
      <c r="D12">
        <v>0.2725</v>
      </c>
      <c r="F12">
        <v>0</v>
      </c>
      <c r="G12" t="s">
        <v>9</v>
      </c>
      <c r="H12" t="s">
        <v>8</v>
      </c>
      <c r="I12">
        <v>1.01</v>
      </c>
      <c r="K12">
        <v>0</v>
      </c>
      <c r="L12" t="s">
        <v>9</v>
      </c>
      <c r="M12" t="s">
        <v>22</v>
      </c>
      <c r="N12">
        <v>0.1475</v>
      </c>
      <c r="P12">
        <v>0</v>
      </c>
      <c r="Q12" t="s">
        <v>9</v>
      </c>
      <c r="R12" t="s">
        <v>13</v>
      </c>
      <c r="S12">
        <v>0.4275</v>
      </c>
      <c r="U12">
        <v>0</v>
      </c>
      <c r="V12" t="s">
        <v>9</v>
      </c>
      <c r="W12" t="s">
        <v>16</v>
      </c>
      <c r="X12">
        <v>0.84</v>
      </c>
      <c r="Z12">
        <v>0</v>
      </c>
      <c r="AA12" t="s">
        <v>9</v>
      </c>
      <c r="AB12" t="s">
        <v>18</v>
      </c>
      <c r="AC12">
        <v>0.9575</v>
      </c>
      <c r="AE12">
        <v>0</v>
      </c>
      <c r="AF12" t="s">
        <v>9</v>
      </c>
      <c r="AG12" t="s">
        <v>35</v>
      </c>
      <c r="AH12">
        <v>1.105</v>
      </c>
      <c r="AJ12">
        <v>0</v>
      </c>
      <c r="AK12" t="s">
        <v>9</v>
      </c>
      <c r="AL12" t="s">
        <v>20</v>
      </c>
      <c r="AM12">
        <v>3.0075</v>
      </c>
    </row>
    <row r="13" spans="1:39">
      <c r="A13">
        <v>0</v>
      </c>
      <c r="B13" t="s">
        <v>9</v>
      </c>
      <c r="C13" t="s">
        <v>41</v>
      </c>
      <c r="D13">
        <v>0.2325</v>
      </c>
      <c r="F13">
        <v>0</v>
      </c>
      <c r="G13" t="s">
        <v>9</v>
      </c>
      <c r="H13" t="s">
        <v>8</v>
      </c>
      <c r="I13">
        <v>1.0725</v>
      </c>
      <c r="K13">
        <v>0</v>
      </c>
      <c r="L13" t="s">
        <v>9</v>
      </c>
      <c r="M13" t="s">
        <v>22</v>
      </c>
      <c r="N13">
        <v>0.335</v>
      </c>
      <c r="P13">
        <v>0</v>
      </c>
      <c r="Q13" t="s">
        <v>9</v>
      </c>
      <c r="R13" t="s">
        <v>13</v>
      </c>
      <c r="S13">
        <v>1.735</v>
      </c>
      <c r="U13">
        <v>0</v>
      </c>
      <c r="V13" t="s">
        <v>9</v>
      </c>
      <c r="W13" t="s">
        <v>16</v>
      </c>
      <c r="X13">
        <v>0.6225</v>
      </c>
      <c r="Z13">
        <v>0</v>
      </c>
      <c r="AA13" t="s">
        <v>9</v>
      </c>
      <c r="AB13" t="s">
        <v>18</v>
      </c>
      <c r="AC13">
        <v>1.415</v>
      </c>
      <c r="AE13">
        <v>0</v>
      </c>
      <c r="AF13" t="s">
        <v>9</v>
      </c>
      <c r="AG13" t="s">
        <v>35</v>
      </c>
      <c r="AH13">
        <v>1.8425</v>
      </c>
      <c r="AJ13">
        <v>0</v>
      </c>
      <c r="AK13" t="s">
        <v>9</v>
      </c>
      <c r="AL13" t="s">
        <v>20</v>
      </c>
      <c r="AM13">
        <v>2.115</v>
      </c>
    </row>
    <row r="14" spans="1:39">
      <c r="A14">
        <v>0</v>
      </c>
      <c r="B14" t="s">
        <v>9</v>
      </c>
      <c r="C14" t="s">
        <v>41</v>
      </c>
      <c r="D14">
        <v>0.3375</v>
      </c>
      <c r="F14">
        <v>0</v>
      </c>
      <c r="G14" t="s">
        <v>9</v>
      </c>
      <c r="H14" t="s">
        <v>8</v>
      </c>
      <c r="I14">
        <v>2.71</v>
      </c>
      <c r="K14">
        <v>0</v>
      </c>
      <c r="L14" t="s">
        <v>9</v>
      </c>
      <c r="M14" t="s">
        <v>22</v>
      </c>
      <c r="N14">
        <v>0.585</v>
      </c>
      <c r="P14">
        <v>0</v>
      </c>
      <c r="Q14" t="s">
        <v>9</v>
      </c>
      <c r="R14" t="s">
        <v>13</v>
      </c>
      <c r="S14">
        <v>0.35</v>
      </c>
      <c r="U14">
        <v>0</v>
      </c>
      <c r="V14" t="s">
        <v>9</v>
      </c>
      <c r="W14" t="s">
        <v>16</v>
      </c>
      <c r="X14">
        <v>1.6175</v>
      </c>
      <c r="Z14">
        <v>0</v>
      </c>
      <c r="AA14" t="s">
        <v>9</v>
      </c>
      <c r="AB14" t="s">
        <v>18</v>
      </c>
      <c r="AC14">
        <v>0.2</v>
      </c>
      <c r="AE14">
        <v>0</v>
      </c>
      <c r="AF14" t="s">
        <v>9</v>
      </c>
      <c r="AG14" t="s">
        <v>35</v>
      </c>
      <c r="AH14">
        <v>0.36</v>
      </c>
      <c r="AJ14">
        <v>0</v>
      </c>
      <c r="AK14" t="s">
        <v>9</v>
      </c>
      <c r="AL14" t="s">
        <v>20</v>
      </c>
      <c r="AM14">
        <v>1.16</v>
      </c>
    </row>
    <row r="15" spans="1:39">
      <c r="A15">
        <v>1</v>
      </c>
      <c r="B15" t="s">
        <v>19</v>
      </c>
      <c r="C15" t="s">
        <v>41</v>
      </c>
      <c r="D15">
        <v>0.21</v>
      </c>
      <c r="F15">
        <v>0</v>
      </c>
      <c r="G15" t="s">
        <v>9</v>
      </c>
      <c r="H15" t="s">
        <v>8</v>
      </c>
      <c r="I15">
        <v>0.715</v>
      </c>
      <c r="K15">
        <v>0</v>
      </c>
      <c r="L15" t="s">
        <v>9</v>
      </c>
      <c r="M15" t="s">
        <v>22</v>
      </c>
      <c r="N15">
        <v>0.4825</v>
      </c>
      <c r="P15">
        <v>0</v>
      </c>
      <c r="Q15" t="s">
        <v>9</v>
      </c>
      <c r="R15" t="s">
        <v>13</v>
      </c>
      <c r="S15">
        <v>2.6325</v>
      </c>
      <c r="U15">
        <v>0</v>
      </c>
      <c r="V15" t="s">
        <v>9</v>
      </c>
      <c r="W15" t="s">
        <v>16</v>
      </c>
      <c r="X15">
        <v>0.4175</v>
      </c>
      <c r="Z15">
        <v>0</v>
      </c>
      <c r="AA15" t="s">
        <v>9</v>
      </c>
      <c r="AB15" t="s">
        <v>18</v>
      </c>
      <c r="AC15">
        <v>0.9725</v>
      </c>
      <c r="AE15">
        <v>0</v>
      </c>
      <c r="AF15" t="s">
        <v>9</v>
      </c>
      <c r="AG15" t="s">
        <v>35</v>
      </c>
      <c r="AH15">
        <v>0.9125</v>
      </c>
      <c r="AJ15">
        <v>1</v>
      </c>
      <c r="AK15" t="s">
        <v>19</v>
      </c>
      <c r="AL15" t="s">
        <v>20</v>
      </c>
      <c r="AM15">
        <v>1.225</v>
      </c>
    </row>
    <row r="16" spans="1:39">
      <c r="A16">
        <v>1</v>
      </c>
      <c r="B16" t="s">
        <v>19</v>
      </c>
      <c r="C16" t="s">
        <v>41</v>
      </c>
      <c r="D16">
        <v>0.145</v>
      </c>
      <c r="F16">
        <v>0</v>
      </c>
      <c r="G16" t="s">
        <v>9</v>
      </c>
      <c r="H16" t="s">
        <v>8</v>
      </c>
      <c r="I16">
        <v>0.6025</v>
      </c>
      <c r="K16">
        <v>0</v>
      </c>
      <c r="L16" t="s">
        <v>9</v>
      </c>
      <c r="M16" t="s">
        <v>22</v>
      </c>
      <c r="N16">
        <v>0.195</v>
      </c>
      <c r="P16">
        <v>1</v>
      </c>
      <c r="Q16" t="s">
        <v>19</v>
      </c>
      <c r="R16" t="s">
        <v>13</v>
      </c>
      <c r="S16">
        <v>1.065</v>
      </c>
      <c r="U16">
        <v>0</v>
      </c>
      <c r="V16" t="s">
        <v>9</v>
      </c>
      <c r="W16" t="s">
        <v>16</v>
      </c>
      <c r="X16">
        <v>0.7075</v>
      </c>
      <c r="Z16">
        <v>0</v>
      </c>
      <c r="AA16" t="s">
        <v>9</v>
      </c>
      <c r="AB16" t="s">
        <v>18</v>
      </c>
      <c r="AC16">
        <v>0.655</v>
      </c>
      <c r="AE16">
        <v>0</v>
      </c>
      <c r="AF16" t="s">
        <v>9</v>
      </c>
      <c r="AG16" t="s">
        <v>35</v>
      </c>
      <c r="AH16">
        <v>0.3875</v>
      </c>
      <c r="AJ16">
        <v>1</v>
      </c>
      <c r="AK16" t="s">
        <v>19</v>
      </c>
      <c r="AL16" t="s">
        <v>20</v>
      </c>
      <c r="AM16">
        <v>2.0025</v>
      </c>
    </row>
    <row r="17" spans="1:39">
      <c r="A17">
        <v>1</v>
      </c>
      <c r="B17" t="s">
        <v>19</v>
      </c>
      <c r="C17" t="s">
        <v>41</v>
      </c>
      <c r="D17">
        <v>0.1575</v>
      </c>
      <c r="F17">
        <v>0</v>
      </c>
      <c r="G17" t="s">
        <v>9</v>
      </c>
      <c r="H17" t="s">
        <v>8</v>
      </c>
      <c r="I17">
        <v>0.805</v>
      </c>
      <c r="K17">
        <v>1</v>
      </c>
      <c r="L17" t="s">
        <v>19</v>
      </c>
      <c r="M17" t="s">
        <v>22</v>
      </c>
      <c r="N17">
        <v>0.5475</v>
      </c>
      <c r="P17">
        <v>1</v>
      </c>
      <c r="Q17" t="s">
        <v>19</v>
      </c>
      <c r="R17" t="s">
        <v>13</v>
      </c>
      <c r="S17">
        <v>0.73</v>
      </c>
      <c r="U17">
        <v>1</v>
      </c>
      <c r="V17" t="s">
        <v>19</v>
      </c>
      <c r="W17" t="s">
        <v>16</v>
      </c>
      <c r="X17">
        <v>0.465</v>
      </c>
      <c r="Z17">
        <v>1</v>
      </c>
      <c r="AA17" t="s">
        <v>19</v>
      </c>
      <c r="AB17" t="s">
        <v>18</v>
      </c>
      <c r="AC17">
        <v>0.7875</v>
      </c>
      <c r="AE17">
        <v>1</v>
      </c>
      <c r="AF17" t="s">
        <v>19</v>
      </c>
      <c r="AG17" t="s">
        <v>35</v>
      </c>
      <c r="AH17">
        <v>0.61</v>
      </c>
      <c r="AJ17">
        <v>1</v>
      </c>
      <c r="AK17" t="s">
        <v>19</v>
      </c>
      <c r="AL17" t="s">
        <v>20</v>
      </c>
      <c r="AM17">
        <v>1.5675</v>
      </c>
    </row>
    <row r="18" spans="1:39">
      <c r="A18">
        <v>1</v>
      </c>
      <c r="B18" t="s">
        <v>19</v>
      </c>
      <c r="C18" t="s">
        <v>41</v>
      </c>
      <c r="D18">
        <v>0.26</v>
      </c>
      <c r="F18">
        <v>1</v>
      </c>
      <c r="G18" t="s">
        <v>19</v>
      </c>
      <c r="H18" t="s">
        <v>8</v>
      </c>
      <c r="I18">
        <v>1.23</v>
      </c>
      <c r="K18">
        <v>1</v>
      </c>
      <c r="L18" t="s">
        <v>19</v>
      </c>
      <c r="M18" t="s">
        <v>22</v>
      </c>
      <c r="N18">
        <v>0.8275</v>
      </c>
      <c r="P18">
        <v>1</v>
      </c>
      <c r="Q18" t="s">
        <v>19</v>
      </c>
      <c r="R18" t="s">
        <v>13</v>
      </c>
      <c r="S18">
        <v>0.615</v>
      </c>
      <c r="U18">
        <v>1</v>
      </c>
      <c r="V18" t="s">
        <v>19</v>
      </c>
      <c r="W18" t="s">
        <v>16</v>
      </c>
      <c r="X18">
        <v>1.0475</v>
      </c>
      <c r="Z18">
        <v>1</v>
      </c>
      <c r="AA18" t="s">
        <v>19</v>
      </c>
      <c r="AB18" t="s">
        <v>18</v>
      </c>
      <c r="AC18">
        <v>0.6175</v>
      </c>
      <c r="AE18">
        <v>1</v>
      </c>
      <c r="AF18" t="s">
        <v>19</v>
      </c>
      <c r="AG18" t="s">
        <v>35</v>
      </c>
      <c r="AH18">
        <v>1.0075</v>
      </c>
      <c r="AJ18">
        <v>1</v>
      </c>
      <c r="AK18" t="s">
        <v>19</v>
      </c>
      <c r="AL18" t="s">
        <v>20</v>
      </c>
      <c r="AM18">
        <v>2.765</v>
      </c>
    </row>
    <row r="19" spans="1:39">
      <c r="A19">
        <v>1</v>
      </c>
      <c r="B19" t="s">
        <v>10</v>
      </c>
      <c r="C19" t="s">
        <v>41</v>
      </c>
      <c r="D19">
        <v>0.4175</v>
      </c>
      <c r="F19">
        <v>1</v>
      </c>
      <c r="G19" t="s">
        <v>19</v>
      </c>
      <c r="H19" t="s">
        <v>8</v>
      </c>
      <c r="I19">
        <v>1.015</v>
      </c>
      <c r="K19">
        <v>1</v>
      </c>
      <c r="L19" t="s">
        <v>19</v>
      </c>
      <c r="M19" t="s">
        <v>22</v>
      </c>
      <c r="N19">
        <v>0.8425</v>
      </c>
      <c r="P19">
        <v>1</v>
      </c>
      <c r="Q19" t="s">
        <v>19</v>
      </c>
      <c r="R19" t="s">
        <v>13</v>
      </c>
      <c r="S19">
        <v>1.555</v>
      </c>
      <c r="U19">
        <v>1</v>
      </c>
      <c r="V19" t="s">
        <v>19</v>
      </c>
      <c r="W19" t="s">
        <v>16</v>
      </c>
      <c r="X19">
        <v>1.445</v>
      </c>
      <c r="Z19">
        <v>1</v>
      </c>
      <c r="AA19" t="s">
        <v>19</v>
      </c>
      <c r="AB19" t="s">
        <v>18</v>
      </c>
      <c r="AC19">
        <v>1.2325</v>
      </c>
      <c r="AE19">
        <v>1</v>
      </c>
      <c r="AF19" t="s">
        <v>19</v>
      </c>
      <c r="AG19" t="s">
        <v>35</v>
      </c>
      <c r="AH19">
        <v>1.0925</v>
      </c>
      <c r="AJ19">
        <v>1</v>
      </c>
      <c r="AK19" t="s">
        <v>19</v>
      </c>
      <c r="AL19" t="s">
        <v>20</v>
      </c>
      <c r="AM19">
        <v>1.765</v>
      </c>
    </row>
    <row r="20" spans="1:39">
      <c r="A20">
        <v>1</v>
      </c>
      <c r="B20" t="s">
        <v>10</v>
      </c>
      <c r="C20" t="s">
        <v>41</v>
      </c>
      <c r="D20">
        <v>0.435</v>
      </c>
      <c r="F20">
        <v>1</v>
      </c>
      <c r="G20" t="s">
        <v>19</v>
      </c>
      <c r="H20" t="s">
        <v>8</v>
      </c>
      <c r="I20">
        <v>1.7725</v>
      </c>
      <c r="K20">
        <v>1</v>
      </c>
      <c r="L20" t="s">
        <v>19</v>
      </c>
      <c r="M20" t="s">
        <v>22</v>
      </c>
      <c r="N20">
        <v>1.765</v>
      </c>
      <c r="P20">
        <v>1</v>
      </c>
      <c r="Q20" t="s">
        <v>19</v>
      </c>
      <c r="R20" t="s">
        <v>13</v>
      </c>
      <c r="S20">
        <v>1.0075</v>
      </c>
      <c r="U20">
        <v>1</v>
      </c>
      <c r="V20" t="s">
        <v>19</v>
      </c>
      <c r="W20" t="s">
        <v>16</v>
      </c>
      <c r="X20">
        <v>0.8875</v>
      </c>
      <c r="Z20">
        <v>1</v>
      </c>
      <c r="AA20" t="s">
        <v>19</v>
      </c>
      <c r="AB20" t="s">
        <v>18</v>
      </c>
      <c r="AC20">
        <v>0.84</v>
      </c>
      <c r="AE20">
        <v>1</v>
      </c>
      <c r="AF20" t="s">
        <v>19</v>
      </c>
      <c r="AG20" t="s">
        <v>35</v>
      </c>
      <c r="AH20">
        <v>0.9125</v>
      </c>
      <c r="AJ20">
        <v>1</v>
      </c>
      <c r="AK20" t="s">
        <v>10</v>
      </c>
      <c r="AL20" t="s">
        <v>20</v>
      </c>
      <c r="AM20">
        <v>2.07</v>
      </c>
    </row>
    <row r="21" spans="1:39">
      <c r="A21">
        <v>1</v>
      </c>
      <c r="B21" t="s">
        <v>10</v>
      </c>
      <c r="C21" t="s">
        <v>41</v>
      </c>
      <c r="D21">
        <v>0.6875</v>
      </c>
      <c r="F21">
        <v>1</v>
      </c>
      <c r="G21" t="s">
        <v>19</v>
      </c>
      <c r="H21" t="s">
        <v>8</v>
      </c>
      <c r="I21">
        <v>0.8425</v>
      </c>
      <c r="K21">
        <v>1</v>
      </c>
      <c r="L21" t="s">
        <v>19</v>
      </c>
      <c r="M21" t="s">
        <v>22</v>
      </c>
      <c r="N21">
        <v>0.525</v>
      </c>
      <c r="P21">
        <v>1</v>
      </c>
      <c r="Q21" t="s">
        <v>10</v>
      </c>
      <c r="R21" t="s">
        <v>13</v>
      </c>
      <c r="S21">
        <v>1.6425</v>
      </c>
      <c r="U21">
        <v>1</v>
      </c>
      <c r="V21" t="s">
        <v>19</v>
      </c>
      <c r="W21" t="s">
        <v>16</v>
      </c>
      <c r="X21">
        <v>2.635</v>
      </c>
      <c r="Z21">
        <v>1</v>
      </c>
      <c r="AA21" t="s">
        <v>19</v>
      </c>
      <c r="AB21" t="s">
        <v>18</v>
      </c>
      <c r="AC21">
        <v>2.035</v>
      </c>
      <c r="AE21">
        <v>1</v>
      </c>
      <c r="AF21" t="s">
        <v>19</v>
      </c>
      <c r="AG21" t="s">
        <v>35</v>
      </c>
      <c r="AH21">
        <v>0.815</v>
      </c>
      <c r="AJ21">
        <v>1</v>
      </c>
      <c r="AK21" t="s">
        <v>10</v>
      </c>
      <c r="AL21" t="s">
        <v>20</v>
      </c>
      <c r="AM21">
        <v>1.4975</v>
      </c>
    </row>
    <row r="22" spans="1:39">
      <c r="A22">
        <v>1</v>
      </c>
      <c r="B22" t="s">
        <v>10</v>
      </c>
      <c r="C22" t="s">
        <v>41</v>
      </c>
      <c r="D22">
        <v>0.6175</v>
      </c>
      <c r="F22">
        <v>1</v>
      </c>
      <c r="G22" t="s">
        <v>19</v>
      </c>
      <c r="H22" t="s">
        <v>8</v>
      </c>
      <c r="I22">
        <v>3.105</v>
      </c>
      <c r="K22">
        <v>1</v>
      </c>
      <c r="L22" t="s">
        <v>10</v>
      </c>
      <c r="M22" t="s">
        <v>22</v>
      </c>
      <c r="N22">
        <v>0.645</v>
      </c>
      <c r="P22">
        <v>1</v>
      </c>
      <c r="Q22" t="s">
        <v>10</v>
      </c>
      <c r="R22" t="s">
        <v>13</v>
      </c>
      <c r="S22">
        <v>1.0225</v>
      </c>
      <c r="U22">
        <v>1</v>
      </c>
      <c r="V22" t="s">
        <v>10</v>
      </c>
      <c r="W22" t="s">
        <v>16</v>
      </c>
      <c r="X22">
        <v>0.99</v>
      </c>
      <c r="Z22">
        <v>1</v>
      </c>
      <c r="AA22" t="s">
        <v>10</v>
      </c>
      <c r="AB22" t="s">
        <v>18</v>
      </c>
      <c r="AC22">
        <v>1.9625</v>
      </c>
      <c r="AE22">
        <v>1</v>
      </c>
      <c r="AF22" t="s">
        <v>10</v>
      </c>
      <c r="AG22" t="s">
        <v>35</v>
      </c>
      <c r="AH22">
        <v>0.94</v>
      </c>
      <c r="AJ22">
        <v>1</v>
      </c>
      <c r="AK22" t="s">
        <v>10</v>
      </c>
      <c r="AL22" t="s">
        <v>20</v>
      </c>
      <c r="AM22">
        <v>0.6775</v>
      </c>
    </row>
    <row r="23" spans="1:39">
      <c r="A23">
        <v>1</v>
      </c>
      <c r="B23" t="s">
        <v>9</v>
      </c>
      <c r="C23" t="s">
        <v>41</v>
      </c>
      <c r="D23">
        <v>0.4225</v>
      </c>
      <c r="F23">
        <v>1</v>
      </c>
      <c r="G23" t="s">
        <v>10</v>
      </c>
      <c r="H23" t="s">
        <v>8</v>
      </c>
      <c r="I23">
        <v>0.605</v>
      </c>
      <c r="K23">
        <v>1</v>
      </c>
      <c r="L23" t="s">
        <v>10</v>
      </c>
      <c r="M23" t="s">
        <v>22</v>
      </c>
      <c r="N23">
        <v>3.43</v>
      </c>
      <c r="P23">
        <v>1</v>
      </c>
      <c r="Q23" t="s">
        <v>10</v>
      </c>
      <c r="R23" t="s">
        <v>13</v>
      </c>
      <c r="S23">
        <v>0.3025</v>
      </c>
      <c r="U23">
        <v>1</v>
      </c>
      <c r="V23" t="s">
        <v>10</v>
      </c>
      <c r="W23" t="s">
        <v>16</v>
      </c>
      <c r="X23">
        <v>1.62</v>
      </c>
      <c r="Z23">
        <v>1</v>
      </c>
      <c r="AA23" t="s">
        <v>10</v>
      </c>
      <c r="AB23" t="s">
        <v>18</v>
      </c>
      <c r="AC23">
        <v>1.1825</v>
      </c>
      <c r="AE23">
        <v>1</v>
      </c>
      <c r="AF23" t="s">
        <v>10</v>
      </c>
      <c r="AG23" t="s">
        <v>35</v>
      </c>
      <c r="AH23">
        <v>1.215</v>
      </c>
      <c r="AJ23">
        <v>1</v>
      </c>
      <c r="AK23" t="s">
        <v>10</v>
      </c>
      <c r="AL23" t="s">
        <v>20</v>
      </c>
      <c r="AM23">
        <v>3.7625</v>
      </c>
    </row>
    <row r="24" spans="1:39">
      <c r="A24">
        <v>1</v>
      </c>
      <c r="B24" t="s">
        <v>9</v>
      </c>
      <c r="C24" t="s">
        <v>41</v>
      </c>
      <c r="D24">
        <v>0.205</v>
      </c>
      <c r="F24">
        <v>1</v>
      </c>
      <c r="G24" t="s">
        <v>10</v>
      </c>
      <c r="H24" t="s">
        <v>8</v>
      </c>
      <c r="I24">
        <v>0.7925</v>
      </c>
      <c r="K24">
        <v>1</v>
      </c>
      <c r="L24" t="s">
        <v>10</v>
      </c>
      <c r="M24" t="s">
        <v>22</v>
      </c>
      <c r="N24">
        <v>1.2725</v>
      </c>
      <c r="P24">
        <v>1</v>
      </c>
      <c r="Q24" t="s">
        <v>10</v>
      </c>
      <c r="R24" t="s">
        <v>13</v>
      </c>
      <c r="S24">
        <v>0.855</v>
      </c>
      <c r="U24">
        <v>1</v>
      </c>
      <c r="V24" t="s">
        <v>10</v>
      </c>
      <c r="W24" t="s">
        <v>16</v>
      </c>
      <c r="X24">
        <v>1.4</v>
      </c>
      <c r="Z24">
        <v>1</v>
      </c>
      <c r="AA24" t="s">
        <v>10</v>
      </c>
      <c r="AB24" t="s">
        <v>18</v>
      </c>
      <c r="AC24">
        <v>2.0675</v>
      </c>
      <c r="AE24">
        <v>1</v>
      </c>
      <c r="AF24" t="s">
        <v>10</v>
      </c>
      <c r="AG24" t="s">
        <v>35</v>
      </c>
      <c r="AH24">
        <v>0.4975</v>
      </c>
      <c r="AJ24">
        <v>1</v>
      </c>
      <c r="AK24" t="s">
        <v>10</v>
      </c>
      <c r="AL24" t="s">
        <v>20</v>
      </c>
      <c r="AM24">
        <v>0.845</v>
      </c>
    </row>
    <row r="25" spans="1:39">
      <c r="A25">
        <v>1</v>
      </c>
      <c r="B25" t="s">
        <v>9</v>
      </c>
      <c r="C25" t="s">
        <v>41</v>
      </c>
      <c r="D25">
        <v>0.53</v>
      </c>
      <c r="F25">
        <v>1</v>
      </c>
      <c r="G25" t="s">
        <v>10</v>
      </c>
      <c r="H25" t="s">
        <v>8</v>
      </c>
      <c r="I25">
        <v>0.3225</v>
      </c>
      <c r="K25">
        <v>1</v>
      </c>
      <c r="L25" t="s">
        <v>10</v>
      </c>
      <c r="M25" t="s">
        <v>22</v>
      </c>
      <c r="N25">
        <v>0.6475</v>
      </c>
      <c r="P25">
        <v>1</v>
      </c>
      <c r="Q25" t="s">
        <v>9</v>
      </c>
      <c r="R25" t="s">
        <v>13</v>
      </c>
      <c r="S25">
        <v>0.38</v>
      </c>
      <c r="U25">
        <v>1</v>
      </c>
      <c r="V25" t="s">
        <v>10</v>
      </c>
      <c r="W25" t="s">
        <v>16</v>
      </c>
      <c r="X25">
        <v>1.1675</v>
      </c>
      <c r="Z25">
        <v>1</v>
      </c>
      <c r="AA25" t="s">
        <v>10</v>
      </c>
      <c r="AB25" t="s">
        <v>18</v>
      </c>
      <c r="AC25">
        <v>1.155</v>
      </c>
      <c r="AE25">
        <v>1</v>
      </c>
      <c r="AF25" t="s">
        <v>10</v>
      </c>
      <c r="AG25" t="s">
        <v>35</v>
      </c>
      <c r="AH25">
        <v>1.3625</v>
      </c>
      <c r="AJ25">
        <v>1</v>
      </c>
      <c r="AK25" t="s">
        <v>9</v>
      </c>
      <c r="AL25" t="s">
        <v>20</v>
      </c>
      <c r="AM25">
        <v>5.23</v>
      </c>
    </row>
    <row r="26" spans="1:39">
      <c r="A26">
        <v>1</v>
      </c>
      <c r="B26" t="s">
        <v>9</v>
      </c>
      <c r="C26" t="s">
        <v>41</v>
      </c>
      <c r="D26">
        <v>0.4125</v>
      </c>
      <c r="F26">
        <v>1</v>
      </c>
      <c r="G26" t="s">
        <v>10</v>
      </c>
      <c r="H26" t="s">
        <v>8</v>
      </c>
      <c r="I26">
        <v>0.1075</v>
      </c>
      <c r="K26">
        <v>1</v>
      </c>
      <c r="L26" t="s">
        <v>10</v>
      </c>
      <c r="M26" t="s">
        <v>22</v>
      </c>
      <c r="N26">
        <v>0.5375</v>
      </c>
      <c r="P26">
        <v>1</v>
      </c>
      <c r="Q26" t="s">
        <v>9</v>
      </c>
      <c r="R26" t="s">
        <v>13</v>
      </c>
      <c r="S26">
        <v>0.8975</v>
      </c>
      <c r="U26">
        <v>1</v>
      </c>
      <c r="V26" t="s">
        <v>10</v>
      </c>
      <c r="W26" t="s">
        <v>16</v>
      </c>
      <c r="X26">
        <v>1.975</v>
      </c>
      <c r="Z26">
        <v>1</v>
      </c>
      <c r="AA26" t="s">
        <v>10</v>
      </c>
      <c r="AB26" t="s">
        <v>18</v>
      </c>
      <c r="AC26">
        <v>2.5575</v>
      </c>
      <c r="AE26">
        <v>1</v>
      </c>
      <c r="AF26" t="s">
        <v>10</v>
      </c>
      <c r="AG26" t="s">
        <v>35</v>
      </c>
      <c r="AH26">
        <v>1.155</v>
      </c>
      <c r="AJ26">
        <v>1</v>
      </c>
      <c r="AK26" t="s">
        <v>9</v>
      </c>
      <c r="AL26" t="s">
        <v>20</v>
      </c>
      <c r="AM26">
        <v>3.565</v>
      </c>
    </row>
    <row r="27" spans="1:39">
      <c r="A27">
        <v>1</v>
      </c>
      <c r="B27" t="s">
        <v>9</v>
      </c>
      <c r="C27" t="s">
        <v>41</v>
      </c>
      <c r="D27">
        <v>0.4575</v>
      </c>
      <c r="F27">
        <v>1</v>
      </c>
      <c r="G27" t="s">
        <v>10</v>
      </c>
      <c r="H27" t="s">
        <v>8</v>
      </c>
      <c r="I27">
        <v>2.685</v>
      </c>
      <c r="K27">
        <v>1</v>
      </c>
      <c r="L27" t="s">
        <v>9</v>
      </c>
      <c r="M27" t="s">
        <v>22</v>
      </c>
      <c r="N27">
        <v>0.2225</v>
      </c>
      <c r="P27">
        <v>1</v>
      </c>
      <c r="Q27" t="s">
        <v>9</v>
      </c>
      <c r="R27" t="s">
        <v>13</v>
      </c>
      <c r="S27">
        <v>2.9475</v>
      </c>
      <c r="U27">
        <v>1</v>
      </c>
      <c r="V27" t="s">
        <v>9</v>
      </c>
      <c r="W27" t="s">
        <v>16</v>
      </c>
      <c r="X27">
        <v>1.1975</v>
      </c>
      <c r="Z27">
        <v>1</v>
      </c>
      <c r="AA27" t="s">
        <v>9</v>
      </c>
      <c r="AB27" t="s">
        <v>18</v>
      </c>
      <c r="AC27">
        <v>1.3325</v>
      </c>
      <c r="AE27">
        <v>1</v>
      </c>
      <c r="AF27" t="s">
        <v>9</v>
      </c>
      <c r="AG27" t="s">
        <v>35</v>
      </c>
      <c r="AH27">
        <v>1.8475</v>
      </c>
      <c r="AJ27">
        <v>1</v>
      </c>
      <c r="AK27" t="s">
        <v>9</v>
      </c>
      <c r="AL27" t="s">
        <v>20</v>
      </c>
      <c r="AM27">
        <v>1.77</v>
      </c>
    </row>
    <row r="28" spans="1:39">
      <c r="A28">
        <v>2</v>
      </c>
      <c r="B28" t="s">
        <v>19</v>
      </c>
      <c r="C28" t="s">
        <v>41</v>
      </c>
      <c r="D28">
        <v>0.175</v>
      </c>
      <c r="F28">
        <v>1</v>
      </c>
      <c r="G28" t="s">
        <v>9</v>
      </c>
      <c r="H28" t="s">
        <v>8</v>
      </c>
      <c r="I28">
        <v>1.825</v>
      </c>
      <c r="K28">
        <v>1</v>
      </c>
      <c r="L28" t="s">
        <v>9</v>
      </c>
      <c r="M28" t="s">
        <v>22</v>
      </c>
      <c r="N28">
        <v>0.5675</v>
      </c>
      <c r="P28">
        <v>1</v>
      </c>
      <c r="Q28" t="s">
        <v>9</v>
      </c>
      <c r="R28" t="s">
        <v>13</v>
      </c>
      <c r="S28">
        <v>0.69</v>
      </c>
      <c r="U28">
        <v>1</v>
      </c>
      <c r="V28" t="s">
        <v>9</v>
      </c>
      <c r="W28" t="s">
        <v>16</v>
      </c>
      <c r="X28">
        <v>0.7625</v>
      </c>
      <c r="Z28">
        <v>1</v>
      </c>
      <c r="AA28" t="s">
        <v>9</v>
      </c>
      <c r="AB28" t="s">
        <v>18</v>
      </c>
      <c r="AC28">
        <v>1.8425</v>
      </c>
      <c r="AE28">
        <v>1</v>
      </c>
      <c r="AF28" t="s">
        <v>9</v>
      </c>
      <c r="AG28" t="s">
        <v>35</v>
      </c>
      <c r="AH28">
        <v>3.13</v>
      </c>
      <c r="AJ28">
        <v>1</v>
      </c>
      <c r="AK28" t="s">
        <v>9</v>
      </c>
      <c r="AL28" t="s">
        <v>20</v>
      </c>
      <c r="AM28">
        <v>2.0275</v>
      </c>
    </row>
    <row r="29" spans="1:39">
      <c r="A29">
        <v>2</v>
      </c>
      <c r="B29" t="s">
        <v>19</v>
      </c>
      <c r="C29" t="s">
        <v>41</v>
      </c>
      <c r="D29">
        <v>0.1175</v>
      </c>
      <c r="F29">
        <v>1</v>
      </c>
      <c r="G29" t="s">
        <v>9</v>
      </c>
      <c r="H29" t="s">
        <v>8</v>
      </c>
      <c r="I29">
        <v>1.73</v>
      </c>
      <c r="K29">
        <v>1</v>
      </c>
      <c r="L29" t="s">
        <v>9</v>
      </c>
      <c r="M29" t="s">
        <v>22</v>
      </c>
      <c r="N29">
        <v>1.3175</v>
      </c>
      <c r="P29">
        <v>1</v>
      </c>
      <c r="Q29" t="s">
        <v>9</v>
      </c>
      <c r="R29" t="s">
        <v>13</v>
      </c>
      <c r="S29">
        <v>4.8975</v>
      </c>
      <c r="U29">
        <v>1</v>
      </c>
      <c r="V29" t="s">
        <v>9</v>
      </c>
      <c r="W29" t="s">
        <v>16</v>
      </c>
      <c r="X29">
        <v>2.6875</v>
      </c>
      <c r="Z29">
        <v>1</v>
      </c>
      <c r="AA29" t="s">
        <v>9</v>
      </c>
      <c r="AB29" t="s">
        <v>18</v>
      </c>
      <c r="AC29">
        <v>0.54</v>
      </c>
      <c r="AE29">
        <v>1</v>
      </c>
      <c r="AF29" t="s">
        <v>9</v>
      </c>
      <c r="AG29" t="s">
        <v>35</v>
      </c>
      <c r="AH29">
        <v>0.7725</v>
      </c>
      <c r="AJ29">
        <v>1</v>
      </c>
      <c r="AK29" t="s">
        <v>9</v>
      </c>
      <c r="AL29" t="s">
        <v>20</v>
      </c>
      <c r="AM29">
        <v>5.705</v>
      </c>
    </row>
    <row r="30" spans="1:39">
      <c r="A30">
        <v>2</v>
      </c>
      <c r="B30" t="s">
        <v>19</v>
      </c>
      <c r="C30" t="s">
        <v>41</v>
      </c>
      <c r="D30">
        <v>0.0625</v>
      </c>
      <c r="F30">
        <v>1</v>
      </c>
      <c r="G30" t="s">
        <v>9</v>
      </c>
      <c r="H30" t="s">
        <v>8</v>
      </c>
      <c r="I30">
        <v>4.13</v>
      </c>
      <c r="K30">
        <v>1</v>
      </c>
      <c r="L30" t="s">
        <v>9</v>
      </c>
      <c r="M30" t="s">
        <v>22</v>
      </c>
      <c r="N30">
        <v>0.8475</v>
      </c>
      <c r="P30">
        <v>2</v>
      </c>
      <c r="Q30" t="s">
        <v>19</v>
      </c>
      <c r="R30" t="s">
        <v>13</v>
      </c>
      <c r="S30">
        <v>0.8425</v>
      </c>
      <c r="U30">
        <v>1</v>
      </c>
      <c r="V30" t="s">
        <v>9</v>
      </c>
      <c r="W30" t="s">
        <v>16</v>
      </c>
      <c r="X30">
        <v>0.585</v>
      </c>
      <c r="Z30">
        <v>1</v>
      </c>
      <c r="AA30" t="s">
        <v>9</v>
      </c>
      <c r="AB30" t="s">
        <v>18</v>
      </c>
      <c r="AC30">
        <v>1.4825</v>
      </c>
      <c r="AE30">
        <v>1</v>
      </c>
      <c r="AF30" t="s">
        <v>9</v>
      </c>
      <c r="AG30" t="s">
        <v>35</v>
      </c>
      <c r="AH30">
        <v>1.5275</v>
      </c>
      <c r="AJ30">
        <v>2</v>
      </c>
      <c r="AK30" t="s">
        <v>19</v>
      </c>
      <c r="AL30" t="s">
        <v>20</v>
      </c>
      <c r="AM30">
        <v>1</v>
      </c>
    </row>
    <row r="31" spans="1:39">
      <c r="A31">
        <v>2</v>
      </c>
      <c r="B31" t="s">
        <v>19</v>
      </c>
      <c r="C31" t="s">
        <v>41</v>
      </c>
      <c r="D31">
        <v>0.1725</v>
      </c>
      <c r="F31">
        <v>1</v>
      </c>
      <c r="G31" t="s">
        <v>9</v>
      </c>
      <c r="H31" t="s">
        <v>8</v>
      </c>
      <c r="I31">
        <v>1.0975</v>
      </c>
      <c r="K31">
        <v>1</v>
      </c>
      <c r="L31" t="s">
        <v>9</v>
      </c>
      <c r="M31" t="s">
        <v>22</v>
      </c>
      <c r="N31">
        <v>0.3375</v>
      </c>
      <c r="P31">
        <v>2</v>
      </c>
      <c r="Q31" t="s">
        <v>19</v>
      </c>
      <c r="R31" t="s">
        <v>13</v>
      </c>
      <c r="S31">
        <v>0.6375</v>
      </c>
      <c r="U31">
        <v>1</v>
      </c>
      <c r="V31" t="s">
        <v>9</v>
      </c>
      <c r="W31" t="s">
        <v>16</v>
      </c>
      <c r="X31">
        <v>1.115</v>
      </c>
      <c r="Z31">
        <v>1</v>
      </c>
      <c r="AA31" t="s">
        <v>9</v>
      </c>
      <c r="AB31" t="s">
        <v>18</v>
      </c>
      <c r="AC31">
        <v>1.14</v>
      </c>
      <c r="AE31">
        <v>1</v>
      </c>
      <c r="AF31" t="s">
        <v>9</v>
      </c>
      <c r="AG31" t="s">
        <v>35</v>
      </c>
      <c r="AH31">
        <v>0.65</v>
      </c>
      <c r="AJ31">
        <v>2</v>
      </c>
      <c r="AK31" t="s">
        <v>19</v>
      </c>
      <c r="AL31" t="s">
        <v>20</v>
      </c>
      <c r="AM31">
        <v>1.7425</v>
      </c>
    </row>
    <row r="32" spans="1:39">
      <c r="A32">
        <v>2</v>
      </c>
      <c r="B32" t="s">
        <v>10</v>
      </c>
      <c r="C32" t="s">
        <v>41</v>
      </c>
      <c r="D32">
        <v>0.415</v>
      </c>
      <c r="F32">
        <v>1</v>
      </c>
      <c r="G32" t="s">
        <v>9</v>
      </c>
      <c r="H32" t="s">
        <v>8</v>
      </c>
      <c r="I32">
        <v>1.13</v>
      </c>
      <c r="K32">
        <v>2</v>
      </c>
      <c r="L32" t="s">
        <v>19</v>
      </c>
      <c r="M32" t="s">
        <v>22</v>
      </c>
      <c r="N32">
        <v>0.46</v>
      </c>
      <c r="P32">
        <v>2</v>
      </c>
      <c r="Q32" t="s">
        <v>19</v>
      </c>
      <c r="R32" t="s">
        <v>13</v>
      </c>
      <c r="S32">
        <v>0.585</v>
      </c>
      <c r="U32">
        <v>2</v>
      </c>
      <c r="V32" t="s">
        <v>19</v>
      </c>
      <c r="W32" t="s">
        <v>16</v>
      </c>
      <c r="X32">
        <v>0.455</v>
      </c>
      <c r="Z32">
        <v>2</v>
      </c>
      <c r="AA32" t="s">
        <v>19</v>
      </c>
      <c r="AB32" t="s">
        <v>18</v>
      </c>
      <c r="AC32">
        <v>0.6125</v>
      </c>
      <c r="AE32">
        <v>2</v>
      </c>
      <c r="AF32" t="s">
        <v>19</v>
      </c>
      <c r="AG32" t="s">
        <v>35</v>
      </c>
      <c r="AH32">
        <v>0.5025</v>
      </c>
      <c r="AJ32">
        <v>2</v>
      </c>
      <c r="AK32" t="s">
        <v>19</v>
      </c>
      <c r="AL32" t="s">
        <v>20</v>
      </c>
      <c r="AM32">
        <v>1.3675</v>
      </c>
    </row>
    <row r="33" spans="1:39">
      <c r="A33">
        <v>2</v>
      </c>
      <c r="B33" t="s">
        <v>10</v>
      </c>
      <c r="C33" t="s">
        <v>41</v>
      </c>
      <c r="D33">
        <v>0.4025</v>
      </c>
      <c r="F33">
        <v>1</v>
      </c>
      <c r="G33" t="s">
        <v>9</v>
      </c>
      <c r="H33" t="s">
        <v>8</v>
      </c>
      <c r="I33">
        <v>1.225</v>
      </c>
      <c r="K33">
        <v>2</v>
      </c>
      <c r="L33" t="s">
        <v>19</v>
      </c>
      <c r="M33" t="s">
        <v>22</v>
      </c>
      <c r="N33">
        <v>0.695</v>
      </c>
      <c r="P33">
        <v>2</v>
      </c>
      <c r="Q33" t="s">
        <v>19</v>
      </c>
      <c r="R33" t="s">
        <v>13</v>
      </c>
      <c r="S33">
        <v>1.4475</v>
      </c>
      <c r="U33">
        <v>2</v>
      </c>
      <c r="V33" t="s">
        <v>19</v>
      </c>
      <c r="W33" t="s">
        <v>16</v>
      </c>
      <c r="X33">
        <v>0.92</v>
      </c>
      <c r="Z33">
        <v>2</v>
      </c>
      <c r="AA33" t="s">
        <v>19</v>
      </c>
      <c r="AB33" t="s">
        <v>18</v>
      </c>
      <c r="AC33">
        <v>0.53</v>
      </c>
      <c r="AE33">
        <v>2</v>
      </c>
      <c r="AF33" t="s">
        <v>19</v>
      </c>
      <c r="AG33" t="s">
        <v>35</v>
      </c>
      <c r="AH33">
        <v>0.7775</v>
      </c>
      <c r="AJ33">
        <v>2</v>
      </c>
      <c r="AK33" t="s">
        <v>19</v>
      </c>
      <c r="AL33" t="s">
        <v>20</v>
      </c>
      <c r="AM33">
        <v>2.5325</v>
      </c>
    </row>
    <row r="34" spans="1:39">
      <c r="A34">
        <v>2</v>
      </c>
      <c r="B34" t="s">
        <v>10</v>
      </c>
      <c r="C34" t="s">
        <v>41</v>
      </c>
      <c r="D34">
        <v>0.6825</v>
      </c>
      <c r="F34">
        <v>2</v>
      </c>
      <c r="G34" t="s">
        <v>19</v>
      </c>
      <c r="H34" t="s">
        <v>8</v>
      </c>
      <c r="I34">
        <v>1.0225</v>
      </c>
      <c r="K34">
        <v>2</v>
      </c>
      <c r="L34" t="s">
        <v>19</v>
      </c>
      <c r="M34" t="s">
        <v>22</v>
      </c>
      <c r="N34">
        <v>0.71</v>
      </c>
      <c r="P34">
        <v>2</v>
      </c>
      <c r="Q34" t="s">
        <v>19</v>
      </c>
      <c r="R34" t="s">
        <v>13</v>
      </c>
      <c r="S34">
        <v>0.875</v>
      </c>
      <c r="U34">
        <v>2</v>
      </c>
      <c r="V34" t="s">
        <v>19</v>
      </c>
      <c r="W34" t="s">
        <v>16</v>
      </c>
      <c r="X34">
        <v>1.45</v>
      </c>
      <c r="Z34">
        <v>2</v>
      </c>
      <c r="AA34" t="s">
        <v>19</v>
      </c>
      <c r="AB34" t="s">
        <v>18</v>
      </c>
      <c r="AC34">
        <v>1.1625</v>
      </c>
      <c r="AE34">
        <v>2</v>
      </c>
      <c r="AF34" t="s">
        <v>19</v>
      </c>
      <c r="AG34" t="s">
        <v>35</v>
      </c>
      <c r="AH34">
        <v>1.0775</v>
      </c>
      <c r="AJ34">
        <v>2</v>
      </c>
      <c r="AK34" t="s">
        <v>19</v>
      </c>
      <c r="AL34" t="s">
        <v>20</v>
      </c>
      <c r="AM34">
        <v>1.3975</v>
      </c>
    </row>
    <row r="35" spans="1:39">
      <c r="A35">
        <v>2</v>
      </c>
      <c r="B35" t="s">
        <v>10</v>
      </c>
      <c r="C35" t="s">
        <v>41</v>
      </c>
      <c r="D35">
        <v>0.8625</v>
      </c>
      <c r="F35">
        <v>2</v>
      </c>
      <c r="G35" t="s">
        <v>19</v>
      </c>
      <c r="H35" t="s">
        <v>8</v>
      </c>
      <c r="I35">
        <v>0.9175</v>
      </c>
      <c r="K35">
        <v>2</v>
      </c>
      <c r="L35" t="s">
        <v>19</v>
      </c>
      <c r="M35" t="s">
        <v>22</v>
      </c>
      <c r="N35">
        <v>1.5575</v>
      </c>
      <c r="P35">
        <v>2</v>
      </c>
      <c r="Q35" t="s">
        <v>10</v>
      </c>
      <c r="R35" t="s">
        <v>13</v>
      </c>
      <c r="S35">
        <v>1.905</v>
      </c>
      <c r="U35">
        <v>2</v>
      </c>
      <c r="V35" t="s">
        <v>19</v>
      </c>
      <c r="W35" t="s">
        <v>16</v>
      </c>
      <c r="X35">
        <v>0.68</v>
      </c>
      <c r="Z35">
        <v>2</v>
      </c>
      <c r="AA35" t="s">
        <v>19</v>
      </c>
      <c r="AB35" t="s">
        <v>18</v>
      </c>
      <c r="AC35">
        <v>0.8</v>
      </c>
      <c r="AE35">
        <v>2</v>
      </c>
      <c r="AF35" t="s">
        <v>19</v>
      </c>
      <c r="AG35" t="s">
        <v>35</v>
      </c>
      <c r="AH35">
        <v>0.8725</v>
      </c>
      <c r="AJ35">
        <v>2</v>
      </c>
      <c r="AK35" t="s">
        <v>10</v>
      </c>
      <c r="AL35" t="s">
        <v>20</v>
      </c>
      <c r="AM35">
        <v>2.125</v>
      </c>
    </row>
    <row r="36" spans="1:39">
      <c r="A36">
        <v>2</v>
      </c>
      <c r="B36" t="s">
        <v>9</v>
      </c>
      <c r="C36" t="s">
        <v>41</v>
      </c>
      <c r="D36">
        <v>0.4575</v>
      </c>
      <c r="F36">
        <v>2</v>
      </c>
      <c r="G36" t="s">
        <v>19</v>
      </c>
      <c r="H36" t="s">
        <v>8</v>
      </c>
      <c r="I36">
        <v>1.7725</v>
      </c>
      <c r="K36">
        <v>2</v>
      </c>
      <c r="L36" t="s">
        <v>19</v>
      </c>
      <c r="M36" t="s">
        <v>22</v>
      </c>
      <c r="N36">
        <v>0.505</v>
      </c>
      <c r="P36">
        <v>2</v>
      </c>
      <c r="Q36" t="s">
        <v>10</v>
      </c>
      <c r="R36" t="s">
        <v>13</v>
      </c>
      <c r="S36">
        <v>1.47</v>
      </c>
      <c r="U36">
        <v>2</v>
      </c>
      <c r="V36" t="s">
        <v>19</v>
      </c>
      <c r="W36" t="s">
        <v>16</v>
      </c>
      <c r="X36">
        <v>2.3525</v>
      </c>
      <c r="Z36">
        <v>2</v>
      </c>
      <c r="AA36" t="s">
        <v>19</v>
      </c>
      <c r="AB36" t="s">
        <v>18</v>
      </c>
      <c r="AC36">
        <v>1.985</v>
      </c>
      <c r="AE36">
        <v>2</v>
      </c>
      <c r="AF36" t="s">
        <v>19</v>
      </c>
      <c r="AG36" t="s">
        <v>35</v>
      </c>
      <c r="AH36">
        <v>0.735</v>
      </c>
      <c r="AJ36">
        <v>2</v>
      </c>
      <c r="AK36" t="s">
        <v>10</v>
      </c>
      <c r="AL36" t="s">
        <v>20</v>
      </c>
      <c r="AM36">
        <v>1.91</v>
      </c>
    </row>
    <row r="37" spans="1:39">
      <c r="A37">
        <v>2</v>
      </c>
      <c r="B37" t="s">
        <v>9</v>
      </c>
      <c r="C37" t="s">
        <v>41</v>
      </c>
      <c r="D37">
        <v>0.24</v>
      </c>
      <c r="F37">
        <v>2</v>
      </c>
      <c r="G37" t="s">
        <v>19</v>
      </c>
      <c r="H37" t="s">
        <v>8</v>
      </c>
      <c r="I37">
        <v>0.625</v>
      </c>
      <c r="K37">
        <v>2</v>
      </c>
      <c r="L37" t="s">
        <v>10</v>
      </c>
      <c r="M37" t="s">
        <v>22</v>
      </c>
      <c r="N37">
        <v>0.825</v>
      </c>
      <c r="P37">
        <v>2</v>
      </c>
      <c r="Q37" t="s">
        <v>10</v>
      </c>
      <c r="R37" t="s">
        <v>13</v>
      </c>
      <c r="S37">
        <v>0.33</v>
      </c>
      <c r="U37">
        <v>2</v>
      </c>
      <c r="V37" t="s">
        <v>10</v>
      </c>
      <c r="W37" t="s">
        <v>16</v>
      </c>
      <c r="X37">
        <v>1.2175</v>
      </c>
      <c r="Z37">
        <v>2</v>
      </c>
      <c r="AA37" t="s">
        <v>10</v>
      </c>
      <c r="AB37" t="s">
        <v>18</v>
      </c>
      <c r="AC37">
        <v>2.4325</v>
      </c>
      <c r="AE37">
        <v>2</v>
      </c>
      <c r="AF37" t="s">
        <v>10</v>
      </c>
      <c r="AG37" t="s">
        <v>35</v>
      </c>
      <c r="AH37">
        <v>0.97</v>
      </c>
      <c r="AJ37">
        <v>2</v>
      </c>
      <c r="AK37" t="s">
        <v>10</v>
      </c>
      <c r="AL37" t="s">
        <v>20</v>
      </c>
      <c r="AM37">
        <v>0.605</v>
      </c>
    </row>
    <row r="38" spans="1:39">
      <c r="A38">
        <v>2</v>
      </c>
      <c r="B38" t="s">
        <v>9</v>
      </c>
      <c r="C38" t="s">
        <v>41</v>
      </c>
      <c r="D38">
        <v>0.56</v>
      </c>
      <c r="F38">
        <v>2</v>
      </c>
      <c r="G38" t="s">
        <v>19</v>
      </c>
      <c r="H38" t="s">
        <v>8</v>
      </c>
      <c r="I38">
        <v>2.8375</v>
      </c>
      <c r="K38">
        <v>2</v>
      </c>
      <c r="L38" t="s">
        <v>10</v>
      </c>
      <c r="M38" t="s">
        <v>22</v>
      </c>
      <c r="N38">
        <v>4.045</v>
      </c>
      <c r="P38">
        <v>2</v>
      </c>
      <c r="Q38" t="s">
        <v>10</v>
      </c>
      <c r="R38" t="s">
        <v>13</v>
      </c>
      <c r="S38">
        <v>1.0675</v>
      </c>
      <c r="U38">
        <v>2</v>
      </c>
      <c r="V38" t="s">
        <v>10</v>
      </c>
      <c r="W38" t="s">
        <v>16</v>
      </c>
      <c r="X38">
        <v>1.5275</v>
      </c>
      <c r="Z38">
        <v>2</v>
      </c>
      <c r="AA38" t="s">
        <v>10</v>
      </c>
      <c r="AB38" t="s">
        <v>18</v>
      </c>
      <c r="AC38">
        <v>1.25</v>
      </c>
      <c r="AE38">
        <v>2</v>
      </c>
      <c r="AF38" t="s">
        <v>10</v>
      </c>
      <c r="AG38" t="s">
        <v>35</v>
      </c>
      <c r="AH38">
        <v>1.3175</v>
      </c>
      <c r="AJ38">
        <v>2</v>
      </c>
      <c r="AK38" t="s">
        <v>10</v>
      </c>
      <c r="AL38" t="s">
        <v>20</v>
      </c>
      <c r="AM38">
        <v>4.5275</v>
      </c>
    </row>
    <row r="39" spans="1:39">
      <c r="A39">
        <v>2</v>
      </c>
      <c r="B39" t="s">
        <v>9</v>
      </c>
      <c r="C39" t="s">
        <v>41</v>
      </c>
      <c r="D39">
        <v>0.5225</v>
      </c>
      <c r="F39">
        <v>2</v>
      </c>
      <c r="G39" t="s">
        <v>10</v>
      </c>
      <c r="H39" t="s">
        <v>8</v>
      </c>
      <c r="I39">
        <v>0.555</v>
      </c>
      <c r="K39">
        <v>2</v>
      </c>
      <c r="L39" t="s">
        <v>10</v>
      </c>
      <c r="M39" t="s">
        <v>22</v>
      </c>
      <c r="N39">
        <v>1.2125</v>
      </c>
      <c r="P39">
        <v>2</v>
      </c>
      <c r="Q39" t="s">
        <v>9</v>
      </c>
      <c r="R39" t="s">
        <v>13</v>
      </c>
      <c r="S39">
        <v>0.5025</v>
      </c>
      <c r="U39">
        <v>2</v>
      </c>
      <c r="V39" t="s">
        <v>10</v>
      </c>
      <c r="W39" t="s">
        <v>16</v>
      </c>
      <c r="X39">
        <v>1.5275</v>
      </c>
      <c r="Z39">
        <v>2</v>
      </c>
      <c r="AA39" t="s">
        <v>10</v>
      </c>
      <c r="AB39" t="s">
        <v>18</v>
      </c>
      <c r="AC39">
        <v>2.49</v>
      </c>
      <c r="AE39">
        <v>2</v>
      </c>
      <c r="AF39" t="s">
        <v>10</v>
      </c>
      <c r="AG39" t="s">
        <v>35</v>
      </c>
      <c r="AH39">
        <v>0.8275</v>
      </c>
      <c r="AJ39">
        <v>2</v>
      </c>
      <c r="AK39" t="s">
        <v>10</v>
      </c>
      <c r="AL39" t="s">
        <v>20</v>
      </c>
      <c r="AM39">
        <v>1.4925</v>
      </c>
    </row>
    <row r="40" spans="1:39">
      <c r="A40">
        <v>2</v>
      </c>
      <c r="B40" t="s">
        <v>9</v>
      </c>
      <c r="C40" t="s">
        <v>41</v>
      </c>
      <c r="D40">
        <v>0.4675</v>
      </c>
      <c r="F40">
        <v>2</v>
      </c>
      <c r="G40" t="s">
        <v>10</v>
      </c>
      <c r="H40" t="s">
        <v>8</v>
      </c>
      <c r="I40">
        <v>1.1175</v>
      </c>
      <c r="K40">
        <v>2</v>
      </c>
      <c r="L40" t="s">
        <v>10</v>
      </c>
      <c r="M40" t="s">
        <v>22</v>
      </c>
      <c r="N40">
        <v>0.83</v>
      </c>
      <c r="P40">
        <v>2</v>
      </c>
      <c r="Q40" t="s">
        <v>9</v>
      </c>
      <c r="R40" t="s">
        <v>13</v>
      </c>
      <c r="S40">
        <v>1.32</v>
      </c>
      <c r="U40">
        <v>2</v>
      </c>
      <c r="V40" t="s">
        <v>10</v>
      </c>
      <c r="W40" t="s">
        <v>16</v>
      </c>
      <c r="X40">
        <v>1.3425</v>
      </c>
      <c r="Z40">
        <v>2</v>
      </c>
      <c r="AA40" t="s">
        <v>10</v>
      </c>
      <c r="AB40" t="s">
        <v>18</v>
      </c>
      <c r="AC40">
        <v>1.455</v>
      </c>
      <c r="AE40">
        <v>2</v>
      </c>
      <c r="AF40" t="s">
        <v>10</v>
      </c>
      <c r="AG40" t="s">
        <v>35</v>
      </c>
      <c r="AH40">
        <v>1.605</v>
      </c>
      <c r="AJ40">
        <v>2</v>
      </c>
      <c r="AK40" t="s">
        <v>9</v>
      </c>
      <c r="AL40" t="s">
        <v>20</v>
      </c>
      <c r="AM40">
        <v>5.925</v>
      </c>
    </row>
    <row r="41" spans="1:39">
      <c r="A41">
        <v>3</v>
      </c>
      <c r="B41" t="s">
        <v>19</v>
      </c>
      <c r="C41" t="s">
        <v>41</v>
      </c>
      <c r="D41">
        <v>0.03</v>
      </c>
      <c r="F41">
        <v>2</v>
      </c>
      <c r="G41" t="s">
        <v>10</v>
      </c>
      <c r="H41" t="s">
        <v>8</v>
      </c>
      <c r="I41">
        <v>0.355</v>
      </c>
      <c r="K41">
        <v>2</v>
      </c>
      <c r="L41" t="s">
        <v>10</v>
      </c>
      <c r="M41" t="s">
        <v>22</v>
      </c>
      <c r="N41">
        <v>0.785</v>
      </c>
      <c r="P41">
        <v>2</v>
      </c>
      <c r="Q41" t="s">
        <v>9</v>
      </c>
      <c r="R41" t="s">
        <v>13</v>
      </c>
      <c r="S41">
        <v>3.5075</v>
      </c>
      <c r="U41">
        <v>2</v>
      </c>
      <c r="V41" t="s">
        <v>10</v>
      </c>
      <c r="W41" t="s">
        <v>16</v>
      </c>
      <c r="X41">
        <v>1.5525</v>
      </c>
      <c r="Z41">
        <v>2</v>
      </c>
      <c r="AA41" t="s">
        <v>10</v>
      </c>
      <c r="AB41" t="s">
        <v>18</v>
      </c>
      <c r="AC41">
        <v>1.01</v>
      </c>
      <c r="AE41">
        <v>2</v>
      </c>
      <c r="AF41" t="s">
        <v>10</v>
      </c>
      <c r="AG41" t="s">
        <v>35</v>
      </c>
      <c r="AH41">
        <v>1.3675</v>
      </c>
      <c r="AJ41">
        <v>2</v>
      </c>
      <c r="AK41" t="s">
        <v>9</v>
      </c>
      <c r="AL41" t="s">
        <v>20</v>
      </c>
      <c r="AM41">
        <v>4.2</v>
      </c>
    </row>
    <row r="42" spans="1:39">
      <c r="A42">
        <v>3</v>
      </c>
      <c r="B42" t="s">
        <v>19</v>
      </c>
      <c r="C42" t="s">
        <v>41</v>
      </c>
      <c r="D42">
        <v>0.0125</v>
      </c>
      <c r="F42">
        <v>2</v>
      </c>
      <c r="G42" t="s">
        <v>10</v>
      </c>
      <c r="H42" t="s">
        <v>8</v>
      </c>
      <c r="I42">
        <v>0.1175</v>
      </c>
      <c r="K42">
        <v>2</v>
      </c>
      <c r="L42" t="s">
        <v>9</v>
      </c>
      <c r="M42" t="s">
        <v>22</v>
      </c>
      <c r="N42">
        <v>0.26</v>
      </c>
      <c r="P42">
        <v>2</v>
      </c>
      <c r="Q42" t="s">
        <v>9</v>
      </c>
      <c r="R42" t="s">
        <v>13</v>
      </c>
      <c r="S42">
        <v>1.025</v>
      </c>
      <c r="U42">
        <v>2</v>
      </c>
      <c r="V42" t="s">
        <v>10</v>
      </c>
      <c r="W42" t="s">
        <v>16</v>
      </c>
      <c r="X42">
        <v>2.9625</v>
      </c>
      <c r="Z42">
        <v>2</v>
      </c>
      <c r="AA42" t="s">
        <v>9</v>
      </c>
      <c r="AB42" t="s">
        <v>18</v>
      </c>
      <c r="AC42">
        <v>1.69</v>
      </c>
      <c r="AE42">
        <v>2</v>
      </c>
      <c r="AF42" t="s">
        <v>9</v>
      </c>
      <c r="AG42" t="s">
        <v>35</v>
      </c>
      <c r="AH42">
        <v>2.46</v>
      </c>
      <c r="AJ42">
        <v>2</v>
      </c>
      <c r="AK42" t="s">
        <v>9</v>
      </c>
      <c r="AL42" t="s">
        <v>20</v>
      </c>
      <c r="AM42">
        <v>2.06</v>
      </c>
    </row>
    <row r="43" spans="1:39">
      <c r="A43">
        <v>3</v>
      </c>
      <c r="B43" t="s">
        <v>19</v>
      </c>
      <c r="C43" t="s">
        <v>41</v>
      </c>
      <c r="D43">
        <v>0.02</v>
      </c>
      <c r="F43">
        <v>2</v>
      </c>
      <c r="G43" t="s">
        <v>10</v>
      </c>
      <c r="H43" t="s">
        <v>8</v>
      </c>
      <c r="I43">
        <v>3.535</v>
      </c>
      <c r="K43">
        <v>2</v>
      </c>
      <c r="L43" t="s">
        <v>9</v>
      </c>
      <c r="M43" t="s">
        <v>22</v>
      </c>
      <c r="N43">
        <v>0.77</v>
      </c>
      <c r="P43">
        <v>2</v>
      </c>
      <c r="Q43" t="s">
        <v>9</v>
      </c>
      <c r="R43" t="s">
        <v>13</v>
      </c>
      <c r="S43">
        <v>5.3175</v>
      </c>
      <c r="U43">
        <v>2</v>
      </c>
      <c r="V43" t="s">
        <v>9</v>
      </c>
      <c r="W43" t="s">
        <v>16</v>
      </c>
      <c r="X43">
        <v>1.55</v>
      </c>
      <c r="Z43">
        <v>2</v>
      </c>
      <c r="AA43" t="s">
        <v>9</v>
      </c>
      <c r="AB43" t="s">
        <v>18</v>
      </c>
      <c r="AC43">
        <v>2.5025</v>
      </c>
      <c r="AE43">
        <v>2</v>
      </c>
      <c r="AF43" t="s">
        <v>9</v>
      </c>
      <c r="AG43" t="s">
        <v>35</v>
      </c>
      <c r="AH43">
        <v>4.2575</v>
      </c>
      <c r="AJ43">
        <v>2</v>
      </c>
      <c r="AK43" t="s">
        <v>9</v>
      </c>
      <c r="AL43" t="s">
        <v>20</v>
      </c>
      <c r="AM43">
        <v>2.835</v>
      </c>
    </row>
    <row r="44" spans="1:39">
      <c r="A44">
        <v>3</v>
      </c>
      <c r="B44" t="s">
        <v>19</v>
      </c>
      <c r="C44" t="s">
        <v>41</v>
      </c>
      <c r="D44">
        <v>0.03</v>
      </c>
      <c r="F44">
        <v>2</v>
      </c>
      <c r="G44" t="s">
        <v>9</v>
      </c>
      <c r="H44" t="s">
        <v>8</v>
      </c>
      <c r="I44">
        <v>2.0525</v>
      </c>
      <c r="K44">
        <v>2</v>
      </c>
      <c r="L44" t="s">
        <v>9</v>
      </c>
      <c r="M44" t="s">
        <v>22</v>
      </c>
      <c r="N44">
        <v>1.59</v>
      </c>
      <c r="P44">
        <v>3</v>
      </c>
      <c r="Q44" t="s">
        <v>19</v>
      </c>
      <c r="R44" t="s">
        <v>13</v>
      </c>
      <c r="S44">
        <v>0.5875</v>
      </c>
      <c r="U44">
        <v>2</v>
      </c>
      <c r="V44" t="s">
        <v>9</v>
      </c>
      <c r="W44" t="s">
        <v>16</v>
      </c>
      <c r="X44">
        <v>0.9</v>
      </c>
      <c r="Z44">
        <v>2</v>
      </c>
      <c r="AA44" t="s">
        <v>9</v>
      </c>
      <c r="AB44" t="s">
        <v>18</v>
      </c>
      <c r="AC44">
        <v>0.685</v>
      </c>
      <c r="AE44">
        <v>2</v>
      </c>
      <c r="AF44" t="s">
        <v>9</v>
      </c>
      <c r="AG44" t="s">
        <v>35</v>
      </c>
      <c r="AH44">
        <v>0.9675</v>
      </c>
      <c r="AJ44">
        <v>2</v>
      </c>
      <c r="AK44" t="s">
        <v>9</v>
      </c>
      <c r="AL44" t="s">
        <v>20</v>
      </c>
      <c r="AM44">
        <v>6.83</v>
      </c>
    </row>
    <row r="45" spans="1:39">
      <c r="A45">
        <v>3</v>
      </c>
      <c r="B45" t="s">
        <v>10</v>
      </c>
      <c r="C45" t="s">
        <v>41</v>
      </c>
      <c r="D45">
        <v>0.3975</v>
      </c>
      <c r="F45">
        <v>2</v>
      </c>
      <c r="G45" t="s">
        <v>9</v>
      </c>
      <c r="H45" t="s">
        <v>8</v>
      </c>
      <c r="I45">
        <v>2.3925</v>
      </c>
      <c r="K45">
        <v>2</v>
      </c>
      <c r="L45" t="s">
        <v>9</v>
      </c>
      <c r="M45" t="s">
        <v>22</v>
      </c>
      <c r="N45">
        <v>1.115</v>
      </c>
      <c r="P45">
        <v>3</v>
      </c>
      <c r="Q45" t="s">
        <v>19</v>
      </c>
      <c r="R45" t="s">
        <v>13</v>
      </c>
      <c r="S45">
        <v>0.4175</v>
      </c>
      <c r="U45">
        <v>2</v>
      </c>
      <c r="V45" t="s">
        <v>9</v>
      </c>
      <c r="W45" t="s">
        <v>16</v>
      </c>
      <c r="X45">
        <v>3.0575</v>
      </c>
      <c r="Z45">
        <v>2</v>
      </c>
      <c r="AA45" t="s">
        <v>9</v>
      </c>
      <c r="AB45" t="s">
        <v>18</v>
      </c>
      <c r="AC45">
        <v>2.125</v>
      </c>
      <c r="AE45">
        <v>2</v>
      </c>
      <c r="AF45" t="s">
        <v>9</v>
      </c>
      <c r="AG45" t="s">
        <v>35</v>
      </c>
      <c r="AH45">
        <v>2.1425</v>
      </c>
      <c r="AJ45">
        <v>3</v>
      </c>
      <c r="AK45" t="s">
        <v>19</v>
      </c>
      <c r="AL45" t="s">
        <v>20</v>
      </c>
      <c r="AM45">
        <v>0.39</v>
      </c>
    </row>
    <row r="46" spans="1:39">
      <c r="A46">
        <v>3</v>
      </c>
      <c r="B46" t="s">
        <v>10</v>
      </c>
      <c r="C46" t="s">
        <v>41</v>
      </c>
      <c r="D46">
        <v>0.58</v>
      </c>
      <c r="F46">
        <v>2</v>
      </c>
      <c r="G46" t="s">
        <v>9</v>
      </c>
      <c r="H46" t="s">
        <v>8</v>
      </c>
      <c r="I46">
        <v>5.31</v>
      </c>
      <c r="K46">
        <v>2</v>
      </c>
      <c r="L46" t="s">
        <v>9</v>
      </c>
      <c r="M46" t="s">
        <v>22</v>
      </c>
      <c r="N46">
        <v>0.3725</v>
      </c>
      <c r="P46">
        <v>3</v>
      </c>
      <c r="Q46" t="s">
        <v>19</v>
      </c>
      <c r="R46" t="s">
        <v>13</v>
      </c>
      <c r="S46">
        <v>0.395</v>
      </c>
      <c r="U46">
        <v>2</v>
      </c>
      <c r="V46" t="s">
        <v>9</v>
      </c>
      <c r="W46" t="s">
        <v>16</v>
      </c>
      <c r="X46">
        <v>0.905</v>
      </c>
      <c r="Z46">
        <v>2</v>
      </c>
      <c r="AA46" t="s">
        <v>9</v>
      </c>
      <c r="AB46" t="s">
        <v>18</v>
      </c>
      <c r="AC46">
        <v>1.45</v>
      </c>
      <c r="AE46">
        <v>2</v>
      </c>
      <c r="AF46" t="s">
        <v>9</v>
      </c>
      <c r="AG46" t="s">
        <v>35</v>
      </c>
      <c r="AH46">
        <v>0.8275</v>
      </c>
      <c r="AJ46">
        <v>3</v>
      </c>
      <c r="AK46" t="s">
        <v>19</v>
      </c>
      <c r="AL46" t="s">
        <v>20</v>
      </c>
      <c r="AM46">
        <v>1.3675</v>
      </c>
    </row>
    <row r="47" spans="1:39">
      <c r="A47">
        <v>3</v>
      </c>
      <c r="B47" t="s">
        <v>10</v>
      </c>
      <c r="C47" t="s">
        <v>41</v>
      </c>
      <c r="D47">
        <v>0.7575</v>
      </c>
      <c r="F47">
        <v>2</v>
      </c>
      <c r="G47" t="s">
        <v>9</v>
      </c>
      <c r="H47" t="s">
        <v>8</v>
      </c>
      <c r="I47">
        <v>1.22</v>
      </c>
      <c r="K47">
        <v>3</v>
      </c>
      <c r="L47" t="s">
        <v>19</v>
      </c>
      <c r="M47" t="s">
        <v>22</v>
      </c>
      <c r="N47">
        <v>0.3175</v>
      </c>
      <c r="P47">
        <v>3</v>
      </c>
      <c r="Q47" t="s">
        <v>19</v>
      </c>
      <c r="R47" t="s">
        <v>13</v>
      </c>
      <c r="S47">
        <v>1.0875</v>
      </c>
      <c r="U47">
        <v>2</v>
      </c>
      <c r="V47" t="s">
        <v>9</v>
      </c>
      <c r="W47" t="s">
        <v>16</v>
      </c>
      <c r="X47">
        <v>1.505</v>
      </c>
      <c r="Z47">
        <v>3</v>
      </c>
      <c r="AA47" t="s">
        <v>19</v>
      </c>
      <c r="AB47" t="s">
        <v>18</v>
      </c>
      <c r="AC47">
        <v>0.385</v>
      </c>
      <c r="AE47">
        <v>3</v>
      </c>
      <c r="AF47" t="s">
        <v>19</v>
      </c>
      <c r="AG47" t="s">
        <v>35</v>
      </c>
      <c r="AH47">
        <v>0.36</v>
      </c>
      <c r="AJ47">
        <v>3</v>
      </c>
      <c r="AK47" t="s">
        <v>19</v>
      </c>
      <c r="AL47" t="s">
        <v>20</v>
      </c>
      <c r="AM47">
        <v>1.11</v>
      </c>
    </row>
    <row r="48" spans="1:39">
      <c r="A48">
        <v>3</v>
      </c>
      <c r="B48" t="s">
        <v>10</v>
      </c>
      <c r="C48" t="s">
        <v>41</v>
      </c>
      <c r="D48">
        <v>1.12</v>
      </c>
      <c r="F48">
        <v>2</v>
      </c>
      <c r="G48" t="s">
        <v>9</v>
      </c>
      <c r="H48" t="s">
        <v>8</v>
      </c>
      <c r="I48">
        <v>1.4575</v>
      </c>
      <c r="K48">
        <v>3</v>
      </c>
      <c r="L48" t="s">
        <v>19</v>
      </c>
      <c r="M48" t="s">
        <v>22</v>
      </c>
      <c r="N48">
        <v>0.6025</v>
      </c>
      <c r="P48">
        <v>3</v>
      </c>
      <c r="Q48" t="s">
        <v>19</v>
      </c>
      <c r="R48" t="s">
        <v>13</v>
      </c>
      <c r="S48">
        <v>0.465</v>
      </c>
      <c r="U48">
        <v>3</v>
      </c>
      <c r="V48" t="s">
        <v>19</v>
      </c>
      <c r="W48" t="s">
        <v>16</v>
      </c>
      <c r="X48">
        <v>0.3425</v>
      </c>
      <c r="Z48">
        <v>3</v>
      </c>
      <c r="AA48" t="s">
        <v>19</v>
      </c>
      <c r="AB48" t="s">
        <v>18</v>
      </c>
      <c r="AC48">
        <v>0.4</v>
      </c>
      <c r="AE48">
        <v>3</v>
      </c>
      <c r="AF48" t="s">
        <v>19</v>
      </c>
      <c r="AG48" t="s">
        <v>35</v>
      </c>
      <c r="AH48">
        <v>0.6025</v>
      </c>
      <c r="AJ48">
        <v>3</v>
      </c>
      <c r="AK48" t="s">
        <v>19</v>
      </c>
      <c r="AL48" t="s">
        <v>20</v>
      </c>
      <c r="AM48">
        <v>2.02</v>
      </c>
    </row>
    <row r="49" spans="1:39">
      <c r="A49">
        <v>3</v>
      </c>
      <c r="B49" t="s">
        <v>9</v>
      </c>
      <c r="C49" t="s">
        <v>41</v>
      </c>
      <c r="D49">
        <v>0.515</v>
      </c>
      <c r="F49">
        <v>2</v>
      </c>
      <c r="G49" t="s">
        <v>9</v>
      </c>
      <c r="H49" t="s">
        <v>8</v>
      </c>
      <c r="I49">
        <v>1.4375</v>
      </c>
      <c r="K49">
        <v>3</v>
      </c>
      <c r="L49" t="s">
        <v>19</v>
      </c>
      <c r="M49" t="s">
        <v>22</v>
      </c>
      <c r="N49">
        <v>0.5625</v>
      </c>
      <c r="P49">
        <v>3</v>
      </c>
      <c r="Q49" t="s">
        <v>10</v>
      </c>
      <c r="R49" t="s">
        <v>13</v>
      </c>
      <c r="S49">
        <v>2.6425</v>
      </c>
      <c r="U49">
        <v>3</v>
      </c>
      <c r="V49" t="s">
        <v>19</v>
      </c>
      <c r="W49" t="s">
        <v>16</v>
      </c>
      <c r="X49">
        <v>0.8025</v>
      </c>
      <c r="Z49">
        <v>3</v>
      </c>
      <c r="AA49" t="s">
        <v>19</v>
      </c>
      <c r="AB49" t="s">
        <v>18</v>
      </c>
      <c r="AC49">
        <v>0.67</v>
      </c>
      <c r="AE49">
        <v>3</v>
      </c>
      <c r="AF49" t="s">
        <v>19</v>
      </c>
      <c r="AG49" t="s">
        <v>35</v>
      </c>
      <c r="AH49">
        <v>0.8025</v>
      </c>
      <c r="AJ49">
        <v>3</v>
      </c>
      <c r="AK49" t="s">
        <v>19</v>
      </c>
      <c r="AL49" t="s">
        <v>20</v>
      </c>
      <c r="AM49">
        <v>0.5675</v>
      </c>
    </row>
    <row r="50" spans="1:39">
      <c r="A50">
        <v>3</v>
      </c>
      <c r="B50" t="s">
        <v>9</v>
      </c>
      <c r="C50" t="s">
        <v>41</v>
      </c>
      <c r="D50">
        <v>0.2975</v>
      </c>
      <c r="F50">
        <v>3</v>
      </c>
      <c r="G50" t="s">
        <v>19</v>
      </c>
      <c r="H50" t="s">
        <v>8</v>
      </c>
      <c r="I50">
        <v>0.655</v>
      </c>
      <c r="K50">
        <v>3</v>
      </c>
      <c r="L50" t="s">
        <v>19</v>
      </c>
      <c r="M50" t="s">
        <v>22</v>
      </c>
      <c r="N50">
        <v>1.12</v>
      </c>
      <c r="P50">
        <v>3</v>
      </c>
      <c r="Q50" t="s">
        <v>10</v>
      </c>
      <c r="R50" t="s">
        <v>13</v>
      </c>
      <c r="S50">
        <v>1.93</v>
      </c>
      <c r="U50">
        <v>3</v>
      </c>
      <c r="V50" t="s">
        <v>19</v>
      </c>
      <c r="W50" t="s">
        <v>16</v>
      </c>
      <c r="X50">
        <v>1.1725</v>
      </c>
      <c r="Z50">
        <v>3</v>
      </c>
      <c r="AA50" t="s">
        <v>19</v>
      </c>
      <c r="AB50" t="s">
        <v>18</v>
      </c>
      <c r="AC50">
        <v>0.7</v>
      </c>
      <c r="AE50">
        <v>3</v>
      </c>
      <c r="AF50" t="s">
        <v>19</v>
      </c>
      <c r="AG50" t="s">
        <v>35</v>
      </c>
      <c r="AH50">
        <v>0.81</v>
      </c>
      <c r="AJ50">
        <v>3</v>
      </c>
      <c r="AK50" t="s">
        <v>10</v>
      </c>
      <c r="AL50" t="s">
        <v>20</v>
      </c>
      <c r="AM50">
        <v>2.6625</v>
      </c>
    </row>
    <row r="51" spans="1:39">
      <c r="A51">
        <v>3</v>
      </c>
      <c r="B51" t="s">
        <v>9</v>
      </c>
      <c r="C51" t="s">
        <v>41</v>
      </c>
      <c r="D51">
        <v>0.83</v>
      </c>
      <c r="F51">
        <v>3</v>
      </c>
      <c r="G51" t="s">
        <v>19</v>
      </c>
      <c r="H51" t="s">
        <v>8</v>
      </c>
      <c r="I51">
        <v>0.665</v>
      </c>
      <c r="K51">
        <v>3</v>
      </c>
      <c r="L51" t="s">
        <v>19</v>
      </c>
      <c r="M51" t="s">
        <v>22</v>
      </c>
      <c r="N51">
        <v>0.33</v>
      </c>
      <c r="P51">
        <v>3</v>
      </c>
      <c r="Q51" t="s">
        <v>10</v>
      </c>
      <c r="R51" t="s">
        <v>13</v>
      </c>
      <c r="S51">
        <v>0.4225</v>
      </c>
      <c r="U51">
        <v>3</v>
      </c>
      <c r="V51" t="s">
        <v>19</v>
      </c>
      <c r="W51" t="s">
        <v>16</v>
      </c>
      <c r="X51">
        <v>0.5875</v>
      </c>
      <c r="Z51">
        <v>3</v>
      </c>
      <c r="AA51" t="s">
        <v>19</v>
      </c>
      <c r="AB51" t="s">
        <v>18</v>
      </c>
      <c r="AC51">
        <v>1.7075</v>
      </c>
      <c r="AE51">
        <v>3</v>
      </c>
      <c r="AF51" t="s">
        <v>19</v>
      </c>
      <c r="AG51" t="s">
        <v>35</v>
      </c>
      <c r="AH51">
        <v>0.5275</v>
      </c>
      <c r="AJ51">
        <v>3</v>
      </c>
      <c r="AK51" t="s">
        <v>10</v>
      </c>
      <c r="AL51" t="s">
        <v>20</v>
      </c>
      <c r="AM51">
        <v>1.9325</v>
      </c>
    </row>
    <row r="52" spans="1:39">
      <c r="A52">
        <v>3</v>
      </c>
      <c r="B52" t="s">
        <v>9</v>
      </c>
      <c r="C52" t="s">
        <v>41</v>
      </c>
      <c r="D52">
        <v>0.615</v>
      </c>
      <c r="F52">
        <v>3</v>
      </c>
      <c r="G52" t="s">
        <v>19</v>
      </c>
      <c r="H52" t="s">
        <v>8</v>
      </c>
      <c r="I52">
        <v>1.21</v>
      </c>
      <c r="K52">
        <v>3</v>
      </c>
      <c r="L52" t="s">
        <v>10</v>
      </c>
      <c r="M52" t="s">
        <v>22</v>
      </c>
      <c r="N52">
        <v>1.0875</v>
      </c>
      <c r="P52">
        <v>3</v>
      </c>
      <c r="Q52" t="s">
        <v>10</v>
      </c>
      <c r="R52" t="s">
        <v>13</v>
      </c>
      <c r="S52">
        <v>1.365</v>
      </c>
      <c r="U52">
        <v>3</v>
      </c>
      <c r="V52" t="s">
        <v>19</v>
      </c>
      <c r="W52" t="s">
        <v>16</v>
      </c>
      <c r="X52">
        <v>1.2925</v>
      </c>
      <c r="Z52">
        <v>3</v>
      </c>
      <c r="AA52" t="s">
        <v>10</v>
      </c>
      <c r="AB52" t="s">
        <v>18</v>
      </c>
      <c r="AC52">
        <v>3.275</v>
      </c>
      <c r="AE52">
        <v>3</v>
      </c>
      <c r="AF52" t="s">
        <v>10</v>
      </c>
      <c r="AG52" t="s">
        <v>35</v>
      </c>
      <c r="AH52">
        <v>1.185</v>
      </c>
      <c r="AJ52">
        <v>3</v>
      </c>
      <c r="AK52" t="s">
        <v>10</v>
      </c>
      <c r="AL52" t="s">
        <v>20</v>
      </c>
      <c r="AM52">
        <v>0.785</v>
      </c>
    </row>
    <row r="53" spans="1:39">
      <c r="A53">
        <v>3</v>
      </c>
      <c r="B53" t="s">
        <v>9</v>
      </c>
      <c r="C53" t="s">
        <v>41</v>
      </c>
      <c r="D53">
        <v>0.6525</v>
      </c>
      <c r="F53">
        <v>3</v>
      </c>
      <c r="G53" t="s">
        <v>19</v>
      </c>
      <c r="H53" t="s">
        <v>8</v>
      </c>
      <c r="I53">
        <v>0.5</v>
      </c>
      <c r="K53">
        <v>3</v>
      </c>
      <c r="L53" t="s">
        <v>10</v>
      </c>
      <c r="M53" t="s">
        <v>22</v>
      </c>
      <c r="N53">
        <v>4.41</v>
      </c>
      <c r="P53">
        <v>3</v>
      </c>
      <c r="Q53" t="s">
        <v>9</v>
      </c>
      <c r="R53" t="s">
        <v>13</v>
      </c>
      <c r="S53">
        <v>0.7425</v>
      </c>
      <c r="U53">
        <v>3</v>
      </c>
      <c r="V53" t="s">
        <v>10</v>
      </c>
      <c r="W53" t="s">
        <v>16</v>
      </c>
      <c r="X53">
        <v>1.375</v>
      </c>
      <c r="Z53">
        <v>3</v>
      </c>
      <c r="AA53" t="s">
        <v>10</v>
      </c>
      <c r="AB53" t="s">
        <v>18</v>
      </c>
      <c r="AC53">
        <v>1.23</v>
      </c>
      <c r="AE53">
        <v>3</v>
      </c>
      <c r="AF53" t="s">
        <v>10</v>
      </c>
      <c r="AG53" t="s">
        <v>35</v>
      </c>
      <c r="AH53">
        <v>1.3375</v>
      </c>
      <c r="AJ53">
        <v>3</v>
      </c>
      <c r="AK53" t="s">
        <v>10</v>
      </c>
      <c r="AL53" t="s">
        <v>20</v>
      </c>
      <c r="AM53">
        <v>4.135</v>
      </c>
    </row>
    <row r="54" spans="1:39">
      <c r="F54">
        <v>3</v>
      </c>
      <c r="G54" t="s">
        <v>19</v>
      </c>
      <c r="H54" t="s">
        <v>8</v>
      </c>
      <c r="I54">
        <v>1.445</v>
      </c>
      <c r="K54">
        <v>3</v>
      </c>
      <c r="L54" t="s">
        <v>10</v>
      </c>
      <c r="M54" t="s">
        <v>22</v>
      </c>
      <c r="N54">
        <v>1.4775</v>
      </c>
      <c r="P54">
        <v>3</v>
      </c>
      <c r="Q54" t="s">
        <v>9</v>
      </c>
      <c r="R54" t="s">
        <v>13</v>
      </c>
      <c r="S54">
        <v>1.82</v>
      </c>
      <c r="U54">
        <v>3</v>
      </c>
      <c r="V54" t="s">
        <v>10</v>
      </c>
      <c r="W54" t="s">
        <v>16</v>
      </c>
      <c r="X54">
        <v>1.74</v>
      </c>
      <c r="Z54">
        <v>3</v>
      </c>
      <c r="AA54" t="s">
        <v>10</v>
      </c>
      <c r="AB54" t="s">
        <v>18</v>
      </c>
      <c r="AC54">
        <v>3.26</v>
      </c>
      <c r="AE54">
        <v>3</v>
      </c>
      <c r="AF54" t="s">
        <v>10</v>
      </c>
      <c r="AG54" t="s">
        <v>35</v>
      </c>
      <c r="AH54">
        <v>1.1625</v>
      </c>
      <c r="AJ54">
        <v>3</v>
      </c>
      <c r="AK54" t="s">
        <v>10</v>
      </c>
      <c r="AL54" t="s">
        <v>20</v>
      </c>
      <c r="AM54">
        <v>2.4425</v>
      </c>
    </row>
    <row r="55" spans="1:39">
      <c r="F55">
        <v>3</v>
      </c>
      <c r="G55" t="s">
        <v>10</v>
      </c>
      <c r="H55" t="s">
        <v>8</v>
      </c>
      <c r="I55">
        <v>0.545</v>
      </c>
      <c r="K55">
        <v>3</v>
      </c>
      <c r="L55" t="s">
        <v>10</v>
      </c>
      <c r="M55" t="s">
        <v>22</v>
      </c>
      <c r="N55">
        <v>0.7675</v>
      </c>
      <c r="P55">
        <v>3</v>
      </c>
      <c r="Q55" t="s">
        <v>9</v>
      </c>
      <c r="R55" t="s">
        <v>13</v>
      </c>
      <c r="S55">
        <v>4.59</v>
      </c>
      <c r="U55">
        <v>3</v>
      </c>
      <c r="V55" t="s">
        <v>10</v>
      </c>
      <c r="W55" t="s">
        <v>16</v>
      </c>
      <c r="X55">
        <v>1.74</v>
      </c>
      <c r="Z55">
        <v>3</v>
      </c>
      <c r="AA55" t="s">
        <v>10</v>
      </c>
      <c r="AB55" t="s">
        <v>18</v>
      </c>
      <c r="AC55">
        <v>1.3475</v>
      </c>
      <c r="AE55">
        <v>3</v>
      </c>
      <c r="AF55" t="s">
        <v>10</v>
      </c>
      <c r="AG55" t="s">
        <v>35</v>
      </c>
      <c r="AH55">
        <v>1.6125</v>
      </c>
      <c r="AJ55">
        <v>3</v>
      </c>
      <c r="AK55" t="s">
        <v>9</v>
      </c>
      <c r="AL55" t="s">
        <v>20</v>
      </c>
      <c r="AM55">
        <v>6.7475</v>
      </c>
    </row>
    <row r="56" spans="1:39">
      <c r="F56">
        <v>3</v>
      </c>
      <c r="G56" t="s">
        <v>10</v>
      </c>
      <c r="H56" t="s">
        <v>8</v>
      </c>
      <c r="I56">
        <v>1.0125</v>
      </c>
      <c r="K56">
        <v>3</v>
      </c>
      <c r="L56" t="s">
        <v>10</v>
      </c>
      <c r="M56" t="s">
        <v>22</v>
      </c>
      <c r="N56">
        <v>1.4575</v>
      </c>
      <c r="P56">
        <v>3</v>
      </c>
      <c r="Q56" t="s">
        <v>9</v>
      </c>
      <c r="R56" t="s">
        <v>13</v>
      </c>
      <c r="S56">
        <v>1.4025</v>
      </c>
      <c r="U56">
        <v>3</v>
      </c>
      <c r="V56" t="s">
        <v>10</v>
      </c>
      <c r="W56" t="s">
        <v>16</v>
      </c>
      <c r="X56">
        <v>1.5275</v>
      </c>
      <c r="Z56">
        <v>3</v>
      </c>
      <c r="AA56" t="s">
        <v>10</v>
      </c>
      <c r="AB56" t="s">
        <v>18</v>
      </c>
      <c r="AC56">
        <v>1.53</v>
      </c>
      <c r="AE56">
        <v>3</v>
      </c>
      <c r="AF56" t="s">
        <v>10</v>
      </c>
      <c r="AG56" t="s">
        <v>35</v>
      </c>
      <c r="AH56">
        <v>1.8</v>
      </c>
      <c r="AJ56">
        <v>3</v>
      </c>
      <c r="AK56" t="s">
        <v>9</v>
      </c>
      <c r="AL56" t="s">
        <v>20</v>
      </c>
      <c r="AM56">
        <v>4.395</v>
      </c>
    </row>
    <row r="57" spans="1:39">
      <c r="F57">
        <v>3</v>
      </c>
      <c r="G57" t="s">
        <v>10</v>
      </c>
      <c r="H57" t="s">
        <v>8</v>
      </c>
      <c r="I57">
        <v>0.4975</v>
      </c>
      <c r="K57">
        <v>3</v>
      </c>
      <c r="L57" t="s">
        <v>9</v>
      </c>
      <c r="M57" t="s">
        <v>22</v>
      </c>
      <c r="N57">
        <v>0.4125</v>
      </c>
      <c r="P57">
        <v>3</v>
      </c>
      <c r="Q57" t="s">
        <v>9</v>
      </c>
      <c r="R57" t="s">
        <v>13</v>
      </c>
      <c r="S57">
        <v>6.28</v>
      </c>
      <c r="U57">
        <v>3</v>
      </c>
      <c r="V57" t="s">
        <v>10</v>
      </c>
      <c r="W57" t="s">
        <v>16</v>
      </c>
      <c r="X57">
        <v>1.575</v>
      </c>
      <c r="Z57">
        <v>3</v>
      </c>
      <c r="AA57" t="s">
        <v>9</v>
      </c>
      <c r="AB57" t="s">
        <v>18</v>
      </c>
      <c r="AC57">
        <v>1.8025</v>
      </c>
      <c r="AE57">
        <v>3</v>
      </c>
      <c r="AF57" t="s">
        <v>9</v>
      </c>
      <c r="AG57" t="s">
        <v>35</v>
      </c>
      <c r="AH57">
        <v>3</v>
      </c>
      <c r="AJ57">
        <v>3</v>
      </c>
      <c r="AK57" t="s">
        <v>9</v>
      </c>
      <c r="AL57" t="s">
        <v>20</v>
      </c>
      <c r="AM57">
        <v>3.0675</v>
      </c>
    </row>
    <row r="58" spans="1:39">
      <c r="F58">
        <v>3</v>
      </c>
      <c r="G58" t="s">
        <v>10</v>
      </c>
      <c r="H58" t="s">
        <v>8</v>
      </c>
      <c r="I58">
        <v>0.145</v>
      </c>
      <c r="K58">
        <v>3</v>
      </c>
      <c r="L58" t="s">
        <v>9</v>
      </c>
      <c r="M58" t="s">
        <v>22</v>
      </c>
      <c r="N58">
        <v>1.0875</v>
      </c>
      <c r="U58">
        <v>3</v>
      </c>
      <c r="V58" t="s">
        <v>10</v>
      </c>
      <c r="W58" t="s">
        <v>16</v>
      </c>
      <c r="X58">
        <v>1.2525</v>
      </c>
      <c r="Z58">
        <v>3</v>
      </c>
      <c r="AA58" t="s">
        <v>9</v>
      </c>
      <c r="AB58" t="s">
        <v>18</v>
      </c>
      <c r="AC58">
        <v>3.14</v>
      </c>
      <c r="AE58">
        <v>3</v>
      </c>
      <c r="AF58" t="s">
        <v>9</v>
      </c>
      <c r="AG58" t="s">
        <v>35</v>
      </c>
      <c r="AH58">
        <v>4.85</v>
      </c>
      <c r="AJ58">
        <v>3</v>
      </c>
      <c r="AK58" t="s">
        <v>9</v>
      </c>
      <c r="AL58" t="s">
        <v>20</v>
      </c>
      <c r="AM58">
        <v>3.9375</v>
      </c>
    </row>
    <row r="59" spans="1:39">
      <c r="F59">
        <v>3</v>
      </c>
      <c r="G59" t="s">
        <v>10</v>
      </c>
      <c r="H59" t="s">
        <v>8</v>
      </c>
      <c r="I59">
        <v>5.05</v>
      </c>
      <c r="K59">
        <v>3</v>
      </c>
      <c r="L59" t="s">
        <v>9</v>
      </c>
      <c r="M59" t="s">
        <v>22</v>
      </c>
      <c r="N59">
        <v>2.38</v>
      </c>
      <c r="U59">
        <v>3</v>
      </c>
      <c r="V59" t="s">
        <v>9</v>
      </c>
      <c r="W59" t="s">
        <v>16</v>
      </c>
      <c r="X59">
        <v>2.06</v>
      </c>
      <c r="Z59">
        <v>3</v>
      </c>
      <c r="AA59" t="s">
        <v>9</v>
      </c>
      <c r="AB59" t="s">
        <v>18</v>
      </c>
      <c r="AC59">
        <v>1.03</v>
      </c>
      <c r="AE59">
        <v>3</v>
      </c>
      <c r="AF59" t="s">
        <v>9</v>
      </c>
      <c r="AG59" t="s">
        <v>35</v>
      </c>
      <c r="AH59">
        <v>1.4425</v>
      </c>
      <c r="AJ59">
        <v>3</v>
      </c>
      <c r="AK59" t="s">
        <v>9</v>
      </c>
      <c r="AL59" t="s">
        <v>20</v>
      </c>
      <c r="AM59">
        <v>9.72</v>
      </c>
    </row>
    <row r="60" spans="1:39">
      <c r="F60">
        <v>3</v>
      </c>
      <c r="G60" t="s">
        <v>9</v>
      </c>
      <c r="H60" t="s">
        <v>8</v>
      </c>
      <c r="I60">
        <v>2.685</v>
      </c>
      <c r="K60">
        <v>3</v>
      </c>
      <c r="L60" t="s">
        <v>9</v>
      </c>
      <c r="M60" t="s">
        <v>22</v>
      </c>
      <c r="N60">
        <v>1.59</v>
      </c>
      <c r="U60">
        <v>3</v>
      </c>
      <c r="V60" t="s">
        <v>9</v>
      </c>
      <c r="W60" t="s">
        <v>16</v>
      </c>
      <c r="X60">
        <v>1.3425</v>
      </c>
      <c r="Z60">
        <v>3</v>
      </c>
      <c r="AA60" t="s">
        <v>9</v>
      </c>
      <c r="AB60" t="s">
        <v>18</v>
      </c>
      <c r="AC60">
        <v>2.71</v>
      </c>
      <c r="AE60">
        <v>3</v>
      </c>
      <c r="AF60" t="s">
        <v>9</v>
      </c>
      <c r="AG60" t="s">
        <v>35</v>
      </c>
      <c r="AH60">
        <v>2.9875</v>
      </c>
      <c r="AJ60">
        <v>0</v>
      </c>
      <c r="AK60" t="s">
        <v>9</v>
      </c>
      <c r="AL60" t="s">
        <v>14</v>
      </c>
      <c r="AM60">
        <v>1.1175</v>
      </c>
    </row>
    <row r="61" spans="1:39">
      <c r="F61">
        <v>3</v>
      </c>
      <c r="G61" t="s">
        <v>9</v>
      </c>
      <c r="H61" t="s">
        <v>8</v>
      </c>
      <c r="I61">
        <v>3.075</v>
      </c>
      <c r="K61">
        <v>3</v>
      </c>
      <c r="L61" t="s">
        <v>9</v>
      </c>
      <c r="M61" t="s">
        <v>22</v>
      </c>
      <c r="N61">
        <v>0.5575</v>
      </c>
      <c r="U61">
        <v>3</v>
      </c>
      <c r="V61" t="s">
        <v>9</v>
      </c>
      <c r="W61" t="s">
        <v>16</v>
      </c>
      <c r="X61">
        <v>4.4</v>
      </c>
      <c r="Z61">
        <v>3</v>
      </c>
      <c r="AA61" t="s">
        <v>9</v>
      </c>
      <c r="AB61" t="s">
        <v>18</v>
      </c>
      <c r="AC61">
        <v>2.1925</v>
      </c>
      <c r="AE61">
        <v>3</v>
      </c>
      <c r="AF61" t="s">
        <v>9</v>
      </c>
      <c r="AG61" t="s">
        <v>35</v>
      </c>
      <c r="AH61">
        <v>1.2925</v>
      </c>
      <c r="AJ61">
        <v>0</v>
      </c>
      <c r="AK61" t="s">
        <v>9</v>
      </c>
      <c r="AL61" t="s">
        <v>14</v>
      </c>
      <c r="AM61">
        <v>3.7175</v>
      </c>
    </row>
    <row r="62" spans="1:39">
      <c r="F62">
        <v>3</v>
      </c>
      <c r="G62" t="s">
        <v>9</v>
      </c>
      <c r="H62" t="s">
        <v>8</v>
      </c>
      <c r="I62">
        <v>6.155</v>
      </c>
      <c r="U62">
        <v>3</v>
      </c>
      <c r="V62" t="s">
        <v>9</v>
      </c>
      <c r="W62" t="s">
        <v>16</v>
      </c>
      <c r="X62">
        <v>1.175</v>
      </c>
    </row>
    <row r="63" spans="1:39">
      <c r="F63">
        <v>3</v>
      </c>
      <c r="G63" t="s">
        <v>9</v>
      </c>
      <c r="H63" t="s">
        <v>8</v>
      </c>
      <c r="I63">
        <v>1.65</v>
      </c>
      <c r="U63">
        <v>3</v>
      </c>
      <c r="V63" t="s">
        <v>9</v>
      </c>
      <c r="W63" t="s">
        <v>16</v>
      </c>
      <c r="X63">
        <v>2.1225</v>
      </c>
    </row>
    <row r="64" spans="1:39">
      <c r="F64">
        <v>3</v>
      </c>
      <c r="G64" t="s">
        <v>9</v>
      </c>
      <c r="H64" t="s">
        <v>8</v>
      </c>
      <c r="I64">
        <v>1.95</v>
      </c>
      <c r="U64">
        <v>0</v>
      </c>
      <c r="V64" t="s">
        <v>10</v>
      </c>
      <c r="W64" t="s">
        <v>11</v>
      </c>
      <c r="X64">
        <v>1.2625</v>
      </c>
    </row>
    <row r="65" spans="6:24">
      <c r="F65">
        <v>3</v>
      </c>
      <c r="G65" t="s">
        <v>9</v>
      </c>
      <c r="H65" t="s">
        <v>8</v>
      </c>
      <c r="I65">
        <v>2.1175</v>
      </c>
      <c r="U65">
        <v>1</v>
      </c>
      <c r="V65" t="s">
        <v>10</v>
      </c>
      <c r="W65" t="s">
        <v>11</v>
      </c>
      <c r="X65">
        <v>1.62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E1" workbookViewId="0">
      <selection pane="topLeft" activeCell="R33" sqref="R33"/>
    </sheetView>
  </sheetViews>
  <sheetFormatPr baseColWidth="10" defaultRowHeight="15"/>
  <cols>
    <col min="7" max="7" width="13.6640625" customWidth="1"/>
    <col min="14" max="14" width="15.1640625" bestFit="1" customWidth="1"/>
    <col min="19" max="19" width="12" bestFit="1" customWidth="1"/>
    <col min="20" max="20" width="12.33203125" bestFit="1" customWidth="1"/>
    <col min="21" max="21" width="15.1640625" bestFit="1" customWidth="1"/>
    <col min="22" max="22" width="12.1640625" bestFit="1" customWidth="1"/>
    <col min="23" max="23" width="12.33203125" bestFit="1" customWidth="1"/>
  </cols>
  <sheetData>
    <row r="1" spans="1:67">
      <c r="A1" t="s">
        <v>2</v>
      </c>
      <c r="B1" t="s">
        <v>3</v>
      </c>
      <c r="C1" t="s">
        <v>1</v>
      </c>
      <c r="D1" t="s">
        <v>6</v>
      </c>
      <c r="G1" t="s">
        <v>2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2</v>
      </c>
      <c r="S1">
        <v>2</v>
      </c>
      <c r="T1">
        <v>2</v>
      </c>
      <c r="U1">
        <v>2</v>
      </c>
      <c r="V1">
        <v>2</v>
      </c>
      <c r="W1">
        <v>3</v>
      </c>
      <c r="X1">
        <v>3</v>
      </c>
      <c r="Y1">
        <v>3</v>
      </c>
      <c r="Z1">
        <v>3</v>
      </c>
      <c r="AA1">
        <v>3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1</v>
      </c>
      <c r="AI1">
        <v>1</v>
      </c>
      <c r="AJ1">
        <v>1</v>
      </c>
      <c r="AK1">
        <v>1</v>
      </c>
      <c r="AL1">
        <v>2</v>
      </c>
      <c r="AM1">
        <v>2</v>
      </c>
      <c r="AN1">
        <v>2</v>
      </c>
      <c r="AO1">
        <v>2</v>
      </c>
      <c r="AP1">
        <v>2</v>
      </c>
      <c r="AQ1">
        <v>3</v>
      </c>
      <c r="AR1">
        <v>3</v>
      </c>
      <c r="AS1">
        <v>3</v>
      </c>
      <c r="AT1">
        <v>3</v>
      </c>
      <c r="AU1">
        <v>3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1</v>
      </c>
      <c r="BD1">
        <v>1</v>
      </c>
      <c r="BE1">
        <v>1</v>
      </c>
      <c r="BF1">
        <v>2</v>
      </c>
      <c r="BG1">
        <v>2</v>
      </c>
      <c r="BH1">
        <v>2</v>
      </c>
      <c r="BI1">
        <v>2</v>
      </c>
      <c r="BJ1">
        <v>2</v>
      </c>
      <c r="BK1">
        <v>3</v>
      </c>
      <c r="BL1">
        <v>3</v>
      </c>
      <c r="BM1">
        <v>3</v>
      </c>
      <c r="BN1">
        <v>3</v>
      </c>
      <c r="BO1">
        <v>3</v>
      </c>
    </row>
    <row r="2" spans="1:67">
      <c r="A2">
        <v>0</v>
      </c>
      <c r="B2" t="s">
        <v>9</v>
      </c>
      <c r="C2" t="s">
        <v>22</v>
      </c>
      <c r="D2">
        <v>0.1475</v>
      </c>
      <c r="G2" t="s">
        <v>3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19</v>
      </c>
      <c r="AW2" t="s">
        <v>19</v>
      </c>
      <c r="AX2" t="s">
        <v>19</v>
      </c>
      <c r="AY2" t="s">
        <v>19</v>
      </c>
      <c r="AZ2" t="s">
        <v>19</v>
      </c>
      <c r="BA2" t="s">
        <v>19</v>
      </c>
      <c r="BB2" t="s">
        <v>19</v>
      </c>
      <c r="BC2" t="s">
        <v>19</v>
      </c>
      <c r="BD2" t="s">
        <v>19</v>
      </c>
      <c r="BE2" t="s">
        <v>19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</row>
    <row r="3" spans="1:67">
      <c r="A3">
        <v>0</v>
      </c>
      <c r="B3" t="s">
        <v>9</v>
      </c>
      <c r="C3" t="s">
        <v>22</v>
      </c>
      <c r="D3">
        <v>0.335</v>
      </c>
      <c r="G3" t="s">
        <v>1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  <c r="AO3" t="s">
        <v>22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 t="s">
        <v>22</v>
      </c>
      <c r="BL3" t="s">
        <v>22</v>
      </c>
      <c r="BM3" t="s">
        <v>22</v>
      </c>
      <c r="BN3" t="s">
        <v>22</v>
      </c>
      <c r="BO3" t="s">
        <v>22</v>
      </c>
    </row>
    <row r="4" spans="1:67">
      <c r="A4">
        <v>0</v>
      </c>
      <c r="B4" t="s">
        <v>9</v>
      </c>
      <c r="C4" t="s">
        <v>22</v>
      </c>
      <c r="D4">
        <v>0.585</v>
      </c>
      <c r="G4" t="s">
        <v>6</v>
      </c>
      <c r="H4">
        <v>0.1475</v>
      </c>
      <c r="I4">
        <v>0.335</v>
      </c>
      <c r="J4">
        <v>0.585</v>
      </c>
      <c r="K4">
        <v>0.4825</v>
      </c>
      <c r="L4">
        <v>0.195</v>
      </c>
      <c r="M4">
        <v>0.2225</v>
      </c>
      <c r="N4">
        <v>0.5675</v>
      </c>
      <c r="O4">
        <v>1.3175</v>
      </c>
      <c r="P4">
        <v>0.8475</v>
      </c>
      <c r="Q4">
        <v>0.3375</v>
      </c>
      <c r="R4">
        <v>0.26</v>
      </c>
      <c r="S4">
        <v>0.77</v>
      </c>
      <c r="T4">
        <v>1.59</v>
      </c>
      <c r="U4">
        <v>1.115</v>
      </c>
      <c r="V4">
        <v>0.3725</v>
      </c>
      <c r="W4">
        <v>0.4125</v>
      </c>
      <c r="X4">
        <v>1.0875</v>
      </c>
      <c r="Y4">
        <v>2.38</v>
      </c>
      <c r="Z4">
        <v>1.59</v>
      </c>
      <c r="AA4">
        <v>0.5575</v>
      </c>
      <c r="AB4">
        <v>0.475</v>
      </c>
      <c r="AC4">
        <v>2.6525</v>
      </c>
      <c r="AD4">
        <v>0.7875</v>
      </c>
      <c r="AE4">
        <v>0.3875</v>
      </c>
      <c r="AF4">
        <v>0.375</v>
      </c>
      <c r="AG4">
        <v>0.645</v>
      </c>
      <c r="AH4">
        <v>3.43</v>
      </c>
      <c r="AI4">
        <v>1.2725</v>
      </c>
      <c r="AJ4">
        <v>0.6475</v>
      </c>
      <c r="AK4">
        <v>0.5375</v>
      </c>
      <c r="AL4">
        <v>0.825</v>
      </c>
      <c r="AM4">
        <v>4.045</v>
      </c>
      <c r="AN4">
        <v>1.2125</v>
      </c>
      <c r="AO4">
        <v>0.83</v>
      </c>
      <c r="AP4">
        <v>0.785</v>
      </c>
      <c r="AQ4">
        <v>1.0875</v>
      </c>
      <c r="AR4">
        <v>4.41</v>
      </c>
      <c r="AS4">
        <v>1.4775</v>
      </c>
      <c r="AT4">
        <v>0.7675</v>
      </c>
      <c r="AU4">
        <v>1.4575</v>
      </c>
      <c r="AV4">
        <v>0.6175</v>
      </c>
      <c r="AW4">
        <v>0.67</v>
      </c>
      <c r="AX4">
        <v>0.6475</v>
      </c>
      <c r="AY4">
        <v>1.4175</v>
      </c>
      <c r="AZ4">
        <v>0.5425</v>
      </c>
      <c r="BA4">
        <v>0.5475</v>
      </c>
      <c r="BB4">
        <v>0.8275</v>
      </c>
      <c r="BC4">
        <v>0.8425</v>
      </c>
      <c r="BD4">
        <v>1.765</v>
      </c>
      <c r="BE4">
        <v>0.525</v>
      </c>
      <c r="BF4">
        <v>0.46</v>
      </c>
      <c r="BG4">
        <v>0.695</v>
      </c>
      <c r="BH4">
        <v>0.71</v>
      </c>
      <c r="BI4">
        <v>1.5575</v>
      </c>
      <c r="BJ4">
        <v>0.505</v>
      </c>
      <c r="BK4">
        <v>0.3175</v>
      </c>
      <c r="BL4">
        <v>0.6025</v>
      </c>
      <c r="BM4">
        <v>0.5625</v>
      </c>
      <c r="BN4">
        <v>1.12</v>
      </c>
      <c r="BO4">
        <v>0.33</v>
      </c>
    </row>
    <row r="5" spans="1:67">
      <c r="A5">
        <v>0</v>
      </c>
      <c r="B5" t="s">
        <v>9</v>
      </c>
      <c r="C5" t="s">
        <v>22</v>
      </c>
      <c r="D5">
        <v>0.4825</v>
      </c>
    </row>
    <row r="6" spans="1:67">
      <c r="A6">
        <v>0</v>
      </c>
      <c r="B6" t="s">
        <v>9</v>
      </c>
      <c r="C6" t="s">
        <v>22</v>
      </c>
      <c r="D6">
        <v>0.195</v>
      </c>
    </row>
    <row r="7" spans="1:67">
      <c r="A7">
        <v>1</v>
      </c>
      <c r="B7" t="s">
        <v>9</v>
      </c>
      <c r="C7" t="s">
        <v>22</v>
      </c>
      <c r="D7">
        <v>0.2225</v>
      </c>
    </row>
    <row r="8" spans="1:67">
      <c r="A8">
        <v>1</v>
      </c>
      <c r="B8" t="s">
        <v>9</v>
      </c>
      <c r="C8" t="s">
        <v>22</v>
      </c>
      <c r="D8">
        <v>0.5675</v>
      </c>
    </row>
    <row r="9" spans="1:67">
      <c r="A9">
        <v>1</v>
      </c>
      <c r="B9" t="s">
        <v>9</v>
      </c>
      <c r="C9" t="s">
        <v>22</v>
      </c>
      <c r="D9">
        <v>1.3175</v>
      </c>
    </row>
    <row r="10" spans="1:67">
      <c r="A10">
        <v>1</v>
      </c>
      <c r="B10" t="s">
        <v>9</v>
      </c>
      <c r="C10" t="s">
        <v>22</v>
      </c>
      <c r="D10">
        <v>0.8475</v>
      </c>
    </row>
    <row r="11" spans="1:67">
      <c r="A11">
        <v>1</v>
      </c>
      <c r="B11" t="s">
        <v>9</v>
      </c>
      <c r="C11" t="s">
        <v>22</v>
      </c>
      <c r="D11">
        <v>0.3375</v>
      </c>
    </row>
    <row r="12" spans="1:67">
      <c r="A12">
        <v>2</v>
      </c>
      <c r="B12" t="s">
        <v>9</v>
      </c>
      <c r="C12" t="s">
        <v>22</v>
      </c>
      <c r="D12">
        <v>0.26</v>
      </c>
      <c r="V12" t="s">
        <v>498</v>
      </c>
      <c r="W12" t="s">
        <v>498</v>
      </c>
      <c r="X12" t="s">
        <v>498</v>
      </c>
    </row>
    <row r="13" spans="1:67">
      <c r="A13">
        <v>2</v>
      </c>
      <c r="B13" t="s">
        <v>9</v>
      </c>
      <c r="C13" t="s">
        <v>22</v>
      </c>
      <c r="D13">
        <v>0.77</v>
      </c>
      <c r="G13" t="s">
        <v>495</v>
      </c>
      <c r="N13" t="s">
        <v>495</v>
      </c>
      <c r="O13" s="2" t="s">
        <v>497</v>
      </c>
      <c r="P13" s="2" t="s">
        <v>498</v>
      </c>
      <c r="R13" t="s">
        <v>521</v>
      </c>
      <c r="S13" t="s">
        <v>495</v>
      </c>
      <c r="T13" s="1" t="s">
        <v>494</v>
      </c>
      <c r="U13" s="1" t="s">
        <v>496</v>
      </c>
      <c r="V13" t="s">
        <v>495</v>
      </c>
      <c r="W13" s="1" t="s">
        <v>494</v>
      </c>
      <c r="X13" s="1" t="s">
        <v>496</v>
      </c>
    </row>
    <row r="14" spans="1:67">
      <c r="A14">
        <v>2</v>
      </c>
      <c r="B14" t="s">
        <v>9</v>
      </c>
      <c r="C14" t="s">
        <v>22</v>
      </c>
      <c r="D14">
        <v>1.59</v>
      </c>
      <c r="G14">
        <v>0</v>
      </c>
      <c r="H14">
        <v>0.1475</v>
      </c>
      <c r="I14">
        <v>0.335</v>
      </c>
      <c r="J14">
        <v>0.585</v>
      </c>
      <c r="K14">
        <v>0.4825</v>
      </c>
      <c r="L14">
        <v>0.195</v>
      </c>
      <c r="N14">
        <v>0</v>
      </c>
      <c r="O14" s="2">
        <f>AVERAGE(H14:L14)</f>
        <v>0.349</v>
      </c>
      <c r="P14" s="2">
        <f>(STDEV(H14:L14))/(SQRT(COUNT(H14:L14)))</f>
        <v>0.083076019403917</v>
      </c>
      <c r="R14">
        <v>0</v>
      </c>
      <c r="S14" s="2">
        <f>O14</f>
        <v>0.349</v>
      </c>
      <c r="T14" s="2">
        <f>O20</f>
        <v>0.7355</v>
      </c>
      <c r="U14" s="2">
        <f>O27</f>
        <v>0.779</v>
      </c>
      <c r="V14" s="2">
        <f>P14</f>
        <v>0.083076019403917</v>
      </c>
      <c r="W14" s="2">
        <f>P20</f>
        <v>0.24109308368346</v>
      </c>
      <c r="X14" s="2">
        <f>P27</f>
        <v>0.161069860619546</v>
      </c>
    </row>
    <row r="15" spans="1:67">
      <c r="A15">
        <v>2</v>
      </c>
      <c r="B15" t="s">
        <v>9</v>
      </c>
      <c r="C15" t="s">
        <v>22</v>
      </c>
      <c r="D15">
        <v>1.115</v>
      </c>
      <c r="G15">
        <v>1</v>
      </c>
      <c r="H15">
        <v>0.2225</v>
      </c>
      <c r="I15">
        <v>0.5675</v>
      </c>
      <c r="J15">
        <v>1.3175</v>
      </c>
      <c r="K15">
        <v>0.8475</v>
      </c>
      <c r="L15">
        <v>0.3375</v>
      </c>
      <c r="N15">
        <v>1</v>
      </c>
      <c r="O15" s="2">
        <f>AVERAGE(H15:L15)</f>
        <v>0.6585</v>
      </c>
      <c r="P15" s="2">
        <f>(STDEV(H15:L15))/(SQRT(COUNT(H15:L15)))</f>
        <v>0.196395010119911</v>
      </c>
      <c r="R15">
        <v>1</v>
      </c>
      <c r="S15" s="2">
        <f>O15</f>
        <v>0.6585</v>
      </c>
      <c r="T15" s="2">
        <f>O21</f>
        <v>1.1065</v>
      </c>
      <c r="U15" s="2">
        <f>O28</f>
        <v>0.9015</v>
      </c>
      <c r="V15" s="2">
        <f>P15</f>
        <v>0.196395010119911</v>
      </c>
      <c r="W15" s="2">
        <f>P21</f>
        <v>0.35543160382836</v>
      </c>
      <c r="X15" s="2">
        <f>P28</f>
        <v>0.22601520966519</v>
      </c>
    </row>
    <row r="16" spans="1:67">
      <c r="A16">
        <v>2</v>
      </c>
      <c r="B16" t="s">
        <v>9</v>
      </c>
      <c r="C16" t="s">
        <v>22</v>
      </c>
      <c r="D16">
        <v>0.3725</v>
      </c>
      <c r="G16">
        <v>2</v>
      </c>
      <c r="H16">
        <v>0.26</v>
      </c>
      <c r="I16">
        <v>0.77</v>
      </c>
      <c r="J16">
        <v>1.59</v>
      </c>
      <c r="K16">
        <v>1.115</v>
      </c>
      <c r="L16">
        <v>0.3725</v>
      </c>
      <c r="N16">
        <v>2</v>
      </c>
      <c r="O16" s="2">
        <f>AVERAGE(H16:L16)</f>
        <v>0.8215</v>
      </c>
      <c r="P16" s="2">
        <f>(STDEV(H16:L16))/(SQRT(COUNT(H16:L16)))</f>
        <v>0.244567986457754</v>
      </c>
      <c r="R16">
        <v>2</v>
      </c>
      <c r="S16" s="2">
        <f>O16</f>
        <v>0.8215</v>
      </c>
      <c r="T16" s="2">
        <f>O22</f>
        <v>1.3395</v>
      </c>
      <c r="U16" s="2">
        <f>O29</f>
        <v>0.7855</v>
      </c>
      <c r="V16" s="2">
        <f>P16</f>
        <v>0.244567986457754</v>
      </c>
      <c r="W16" s="2">
        <f>P22</f>
        <v>0.433395316079904</v>
      </c>
      <c r="X16" s="2">
        <f>P29</f>
        <v>0.19931194143854</v>
      </c>
    </row>
    <row r="17" spans="1:24">
      <c r="A17">
        <v>3</v>
      </c>
      <c r="B17" t="s">
        <v>9</v>
      </c>
      <c r="C17" t="s">
        <v>22</v>
      </c>
      <c r="D17">
        <v>0.4125</v>
      </c>
      <c r="G17">
        <v>3</v>
      </c>
      <c r="H17">
        <v>0.4125</v>
      </c>
      <c r="I17">
        <v>1.0875</v>
      </c>
      <c r="J17">
        <v>2.38</v>
      </c>
      <c r="K17">
        <v>1.59</v>
      </c>
      <c r="L17">
        <v>0.5575</v>
      </c>
      <c r="N17">
        <v>3</v>
      </c>
      <c r="O17" s="2">
        <f>AVERAGE(H17:L17)</f>
        <v>1.2055</v>
      </c>
      <c r="P17" s="2">
        <f>(STDEV(H17:L17))/(SQRT(COUNT(H17:L17)))</f>
        <v>0.359858826486165</v>
      </c>
      <c r="R17">
        <v>3</v>
      </c>
      <c r="S17" s="2">
        <f>O17</f>
        <v>1.2055</v>
      </c>
      <c r="T17" s="2">
        <f>O23</f>
        <v>1.64</v>
      </c>
      <c r="U17" s="2">
        <f>O30</f>
        <v>0.5865</v>
      </c>
      <c r="V17" s="2">
        <f>P17</f>
        <v>0.359858826486165</v>
      </c>
      <c r="W17" s="2">
        <f>P23</f>
        <v>0.461471830126173</v>
      </c>
      <c r="X17" s="2">
        <f>P30</f>
        <v>0.145534789655257</v>
      </c>
    </row>
    <row r="18" spans="1:24">
      <c r="A18">
        <v>3</v>
      </c>
      <c r="B18" t="s">
        <v>9</v>
      </c>
      <c r="C18" t="s">
        <v>22</v>
      </c>
      <c r="D18">
        <v>1.0875</v>
      </c>
    </row>
    <row r="19" spans="1:24">
      <c r="A19">
        <v>3</v>
      </c>
      <c r="B19" t="s">
        <v>9</v>
      </c>
      <c r="C19" t="s">
        <v>22</v>
      </c>
      <c r="D19">
        <v>2.38</v>
      </c>
      <c r="G19" t="s">
        <v>494</v>
      </c>
      <c r="N19" t="s">
        <v>494</v>
      </c>
      <c r="O19" s="2" t="s">
        <v>497</v>
      </c>
      <c r="P19" s="2" t="s">
        <v>498</v>
      </c>
    </row>
    <row r="20" spans="1:24">
      <c r="A20">
        <v>3</v>
      </c>
      <c r="B20" t="s">
        <v>9</v>
      </c>
      <c r="C20" t="s">
        <v>22</v>
      </c>
      <c r="D20">
        <v>1.59</v>
      </c>
      <c r="G20">
        <v>0</v>
      </c>
      <c r="H20">
        <v>0.475</v>
      </c>
      <c r="I20" s="4">
        <v>1.6525</v>
      </c>
      <c r="J20">
        <v>0.7875</v>
      </c>
      <c r="K20">
        <v>0.3875</v>
      </c>
      <c r="L20">
        <v>0.375</v>
      </c>
      <c r="N20">
        <v>0</v>
      </c>
      <c r="O20" s="2">
        <f>AVERAGE(H20:L20)</f>
        <v>0.7355</v>
      </c>
      <c r="P20" s="2">
        <f>(STDEV(H20:L20))/(SQRT(COUNT(H20:L20)))</f>
        <v>0.24109308368346</v>
      </c>
    </row>
    <row r="21" spans="1:24">
      <c r="A21">
        <v>3</v>
      </c>
      <c r="B21" t="s">
        <v>9</v>
      </c>
      <c r="C21" t="s">
        <v>22</v>
      </c>
      <c r="D21">
        <v>0.5575</v>
      </c>
      <c r="G21">
        <v>1</v>
      </c>
      <c r="H21">
        <v>0.645</v>
      </c>
      <c r="I21" s="4">
        <v>2.43</v>
      </c>
      <c r="J21">
        <v>1.2725</v>
      </c>
      <c r="K21">
        <v>0.6475</v>
      </c>
      <c r="L21">
        <v>0.5375</v>
      </c>
      <c r="N21">
        <v>1</v>
      </c>
      <c r="O21" s="2">
        <f>AVERAGE(H21:L21)</f>
        <v>1.1065</v>
      </c>
      <c r="P21" s="2">
        <f>(STDEV(H21:L21))/(SQRT(COUNT(H21:L21)))</f>
        <v>0.35543160382836</v>
      </c>
    </row>
    <row r="22" spans="1:24">
      <c r="A22">
        <v>0</v>
      </c>
      <c r="B22" t="s">
        <v>10</v>
      </c>
      <c r="C22" t="s">
        <v>22</v>
      </c>
      <c r="D22">
        <v>0.475</v>
      </c>
      <c r="G22">
        <v>2</v>
      </c>
      <c r="H22">
        <v>0.825</v>
      </c>
      <c r="I22" s="4">
        <v>3.045</v>
      </c>
      <c r="J22">
        <v>1.2125</v>
      </c>
      <c r="K22">
        <v>0.83</v>
      </c>
      <c r="L22">
        <v>0.785</v>
      </c>
      <c r="N22">
        <v>2</v>
      </c>
      <c r="O22" s="2">
        <f>AVERAGE(H22:L22)</f>
        <v>1.3395</v>
      </c>
      <c r="P22" s="2">
        <f>(STDEV(H22:L22))/(SQRT(COUNT(H22:L22)))</f>
        <v>0.433395316079904</v>
      </c>
    </row>
    <row r="23" spans="1:24">
      <c r="A23">
        <v>0</v>
      </c>
      <c r="B23" t="s">
        <v>10</v>
      </c>
      <c r="C23" t="s">
        <v>22</v>
      </c>
      <c r="D23">
        <v>2.6525</v>
      </c>
      <c r="G23">
        <v>3</v>
      </c>
      <c r="H23">
        <v>1.0875</v>
      </c>
      <c r="I23" s="4">
        <v>3.41</v>
      </c>
      <c r="J23">
        <v>1.4775</v>
      </c>
      <c r="K23">
        <v>0.7675</v>
      </c>
      <c r="L23">
        <v>1.4575</v>
      </c>
      <c r="N23">
        <v>3</v>
      </c>
      <c r="O23" s="2">
        <f>AVERAGE(H23:L23)</f>
        <v>1.64</v>
      </c>
      <c r="P23" s="2">
        <f>(STDEV(H23:L23))/(SQRT(COUNT(H23:L23)))</f>
        <v>0.461471830126173</v>
      </c>
    </row>
    <row r="24" spans="1:24">
      <c r="A24">
        <v>0</v>
      </c>
      <c r="B24" t="s">
        <v>10</v>
      </c>
      <c r="C24" t="s">
        <v>22</v>
      </c>
      <c r="D24">
        <v>0.7875</v>
      </c>
    </row>
    <row r="25" spans="1:24">
      <c r="A25">
        <v>0</v>
      </c>
      <c r="B25" t="s">
        <v>10</v>
      </c>
      <c r="C25" t="s">
        <v>22</v>
      </c>
      <c r="D25">
        <v>0.3875</v>
      </c>
    </row>
    <row r="26" spans="1:24">
      <c r="A26">
        <v>0</v>
      </c>
      <c r="B26" t="s">
        <v>10</v>
      </c>
      <c r="C26" t="s">
        <v>22</v>
      </c>
      <c r="D26">
        <v>0.375</v>
      </c>
      <c r="G26" t="s">
        <v>496</v>
      </c>
      <c r="N26" t="s">
        <v>496</v>
      </c>
      <c r="O26" s="2" t="s">
        <v>497</v>
      </c>
      <c r="P26" s="2" t="s">
        <v>498</v>
      </c>
    </row>
    <row r="27" spans="1:24">
      <c r="A27">
        <v>1</v>
      </c>
      <c r="B27" t="s">
        <v>10</v>
      </c>
      <c r="C27" t="s">
        <v>22</v>
      </c>
      <c r="D27">
        <v>0.645</v>
      </c>
      <c r="G27">
        <v>0</v>
      </c>
      <c r="H27">
        <v>0.6175</v>
      </c>
      <c r="I27">
        <v>0.67</v>
      </c>
      <c r="J27">
        <v>0.6475</v>
      </c>
      <c r="K27">
        <v>1.4175</v>
      </c>
      <c r="L27">
        <v>0.5425</v>
      </c>
      <c r="N27">
        <v>0</v>
      </c>
      <c r="O27" s="2">
        <f>AVERAGE(H27:L27)</f>
        <v>0.779</v>
      </c>
      <c r="P27" s="2">
        <f>(STDEV(H27:L27))/(SQRT(COUNT(H27:L27)))</f>
        <v>0.161069860619546</v>
      </c>
    </row>
    <row r="28" spans="1:24">
      <c r="A28">
        <v>1</v>
      </c>
      <c r="B28" t="s">
        <v>10</v>
      </c>
      <c r="C28" t="s">
        <v>22</v>
      </c>
      <c r="D28">
        <v>3.43</v>
      </c>
      <c r="G28">
        <v>1</v>
      </c>
      <c r="H28">
        <v>0.5475</v>
      </c>
      <c r="I28">
        <v>0.8275</v>
      </c>
      <c r="J28">
        <v>0.8425</v>
      </c>
      <c r="K28">
        <v>1.765</v>
      </c>
      <c r="L28">
        <v>0.525</v>
      </c>
      <c r="N28">
        <v>1</v>
      </c>
      <c r="O28" s="2">
        <f>AVERAGE(H28:L28)</f>
        <v>0.9015</v>
      </c>
      <c r="P28" s="2">
        <f>(STDEV(H28:L28))/(SQRT(COUNT(H28:L28)))</f>
        <v>0.22601520966519</v>
      </c>
    </row>
    <row r="29" spans="1:24">
      <c r="A29">
        <v>1</v>
      </c>
      <c r="B29" t="s">
        <v>10</v>
      </c>
      <c r="C29" t="s">
        <v>22</v>
      </c>
      <c r="D29">
        <v>1.2725</v>
      </c>
      <c r="G29">
        <v>2</v>
      </c>
      <c r="H29">
        <v>0.46</v>
      </c>
      <c r="I29">
        <v>0.695</v>
      </c>
      <c r="J29">
        <v>0.71</v>
      </c>
      <c r="K29">
        <v>1.5575</v>
      </c>
      <c r="L29">
        <v>0.505</v>
      </c>
      <c r="N29">
        <v>2</v>
      </c>
      <c r="O29" s="2">
        <f>AVERAGE(H29:L29)</f>
        <v>0.7855</v>
      </c>
      <c r="P29" s="2">
        <f>(STDEV(H29:L29))/(SQRT(COUNT(H29:L29)))</f>
        <v>0.19931194143854</v>
      </c>
    </row>
    <row r="30" spans="1:24">
      <c r="A30">
        <v>1</v>
      </c>
      <c r="B30" t="s">
        <v>10</v>
      </c>
      <c r="C30" t="s">
        <v>22</v>
      </c>
      <c r="D30">
        <v>0.6475</v>
      </c>
      <c r="G30">
        <v>3</v>
      </c>
      <c r="H30">
        <v>0.3175</v>
      </c>
      <c r="I30">
        <v>0.6025</v>
      </c>
      <c r="J30">
        <v>0.5625</v>
      </c>
      <c r="K30">
        <v>1.12</v>
      </c>
      <c r="L30">
        <v>0.33</v>
      </c>
      <c r="N30">
        <v>3</v>
      </c>
      <c r="O30" s="2">
        <f>AVERAGE(H30:L30)</f>
        <v>0.5865</v>
      </c>
      <c r="P30" s="2">
        <f>(STDEV(H30:L30))/(SQRT(COUNT(H30:L30)))</f>
        <v>0.145534789655257</v>
      </c>
    </row>
    <row r="31" spans="1:24">
      <c r="A31">
        <v>1</v>
      </c>
      <c r="B31" t="s">
        <v>10</v>
      </c>
      <c r="C31" t="s">
        <v>22</v>
      </c>
      <c r="D31">
        <v>0.5375</v>
      </c>
    </row>
    <row r="32" spans="1:24">
      <c r="A32">
        <v>2</v>
      </c>
      <c r="B32" t="s">
        <v>10</v>
      </c>
      <c r="C32" t="s">
        <v>22</v>
      </c>
      <c r="D32">
        <v>0.825</v>
      </c>
    </row>
    <row r="33" spans="1:4">
      <c r="A33">
        <v>2</v>
      </c>
      <c r="B33" t="s">
        <v>10</v>
      </c>
      <c r="C33" t="s">
        <v>22</v>
      </c>
      <c r="D33">
        <v>4.045</v>
      </c>
    </row>
    <row r="34" spans="1:4">
      <c r="A34">
        <v>2</v>
      </c>
      <c r="B34" t="s">
        <v>10</v>
      </c>
      <c r="C34" t="s">
        <v>22</v>
      </c>
      <c r="D34">
        <v>1.2125</v>
      </c>
    </row>
    <row r="35" spans="1:4">
      <c r="A35">
        <v>2</v>
      </c>
      <c r="B35" t="s">
        <v>10</v>
      </c>
      <c r="C35" t="s">
        <v>22</v>
      </c>
      <c r="D35">
        <v>0.83</v>
      </c>
    </row>
    <row r="36" spans="1:4">
      <c r="A36">
        <v>2</v>
      </c>
      <c r="B36" t="s">
        <v>10</v>
      </c>
      <c r="C36" t="s">
        <v>22</v>
      </c>
      <c r="D36">
        <v>0.785</v>
      </c>
    </row>
    <row r="37" spans="1:4">
      <c r="A37">
        <v>3</v>
      </c>
      <c r="B37" t="s">
        <v>10</v>
      </c>
      <c r="C37" t="s">
        <v>22</v>
      </c>
      <c r="D37">
        <v>1.0875</v>
      </c>
    </row>
    <row r="38" spans="1:4">
      <c r="A38">
        <v>3</v>
      </c>
      <c r="B38" t="s">
        <v>10</v>
      </c>
      <c r="C38" t="s">
        <v>22</v>
      </c>
      <c r="D38">
        <v>4.41</v>
      </c>
    </row>
    <row r="39" spans="1:4">
      <c r="A39">
        <v>3</v>
      </c>
      <c r="B39" t="s">
        <v>10</v>
      </c>
      <c r="C39" t="s">
        <v>22</v>
      </c>
      <c r="D39">
        <v>1.4775</v>
      </c>
    </row>
    <row r="40" spans="1:4">
      <c r="A40">
        <v>3</v>
      </c>
      <c r="B40" t="s">
        <v>10</v>
      </c>
      <c r="C40" t="s">
        <v>22</v>
      </c>
      <c r="D40">
        <v>0.7675</v>
      </c>
    </row>
    <row r="41" spans="1:4">
      <c r="A41">
        <v>3</v>
      </c>
      <c r="B41" t="s">
        <v>10</v>
      </c>
      <c r="C41" t="s">
        <v>22</v>
      </c>
      <c r="D41">
        <v>1.4575</v>
      </c>
    </row>
    <row r="42" spans="1:4">
      <c r="A42">
        <v>0</v>
      </c>
      <c r="B42" t="s">
        <v>19</v>
      </c>
      <c r="C42" t="s">
        <v>22</v>
      </c>
      <c r="D42">
        <v>0.6175</v>
      </c>
    </row>
    <row r="43" spans="1:4">
      <c r="A43">
        <v>0</v>
      </c>
      <c r="B43" t="s">
        <v>19</v>
      </c>
      <c r="C43" t="s">
        <v>22</v>
      </c>
      <c r="D43">
        <v>0.67</v>
      </c>
    </row>
    <row r="44" spans="1:4">
      <c r="A44">
        <v>0</v>
      </c>
      <c r="B44" t="s">
        <v>19</v>
      </c>
      <c r="C44" t="s">
        <v>22</v>
      </c>
      <c r="D44">
        <v>0.6475</v>
      </c>
    </row>
    <row r="45" spans="1:4">
      <c r="A45">
        <v>0</v>
      </c>
      <c r="B45" t="s">
        <v>19</v>
      </c>
      <c r="C45" t="s">
        <v>22</v>
      </c>
      <c r="D45">
        <v>1.4175</v>
      </c>
    </row>
    <row r="46" spans="1:4">
      <c r="A46">
        <v>0</v>
      </c>
      <c r="B46" t="s">
        <v>19</v>
      </c>
      <c r="C46" t="s">
        <v>22</v>
      </c>
      <c r="D46">
        <v>0.5425</v>
      </c>
    </row>
    <row r="47" spans="1:4">
      <c r="A47">
        <v>1</v>
      </c>
      <c r="B47" t="s">
        <v>19</v>
      </c>
      <c r="C47" t="s">
        <v>22</v>
      </c>
      <c r="D47">
        <v>0.5475</v>
      </c>
    </row>
    <row r="48" spans="1:4">
      <c r="A48">
        <v>1</v>
      </c>
      <c r="B48" t="s">
        <v>19</v>
      </c>
      <c r="C48" t="s">
        <v>22</v>
      </c>
      <c r="D48">
        <v>0.8275</v>
      </c>
    </row>
    <row r="49" spans="1:4">
      <c r="A49">
        <v>1</v>
      </c>
      <c r="B49" t="s">
        <v>19</v>
      </c>
      <c r="C49" t="s">
        <v>22</v>
      </c>
      <c r="D49">
        <v>0.8425</v>
      </c>
    </row>
    <row r="50" spans="1:4">
      <c r="A50">
        <v>1</v>
      </c>
      <c r="B50" t="s">
        <v>19</v>
      </c>
      <c r="C50" t="s">
        <v>22</v>
      </c>
      <c r="D50">
        <v>1.765</v>
      </c>
    </row>
    <row r="51" spans="1:4">
      <c r="A51">
        <v>1</v>
      </c>
      <c r="B51" t="s">
        <v>19</v>
      </c>
      <c r="C51" t="s">
        <v>22</v>
      </c>
      <c r="D51">
        <v>0.525</v>
      </c>
    </row>
    <row r="52" spans="1:4">
      <c r="A52">
        <v>2</v>
      </c>
      <c r="B52" t="s">
        <v>19</v>
      </c>
      <c r="C52" t="s">
        <v>22</v>
      </c>
      <c r="D52">
        <v>0.46</v>
      </c>
    </row>
    <row r="53" spans="1:4">
      <c r="A53">
        <v>2</v>
      </c>
      <c r="B53" t="s">
        <v>19</v>
      </c>
      <c r="C53" t="s">
        <v>22</v>
      </c>
      <c r="D53">
        <v>0.695</v>
      </c>
    </row>
    <row r="54" spans="1:4">
      <c r="A54">
        <v>2</v>
      </c>
      <c r="B54" t="s">
        <v>19</v>
      </c>
      <c r="C54" t="s">
        <v>22</v>
      </c>
      <c r="D54">
        <v>0.71</v>
      </c>
    </row>
    <row r="55" spans="1:4">
      <c r="A55">
        <v>2</v>
      </c>
      <c r="B55" t="s">
        <v>19</v>
      </c>
      <c r="C55" t="s">
        <v>22</v>
      </c>
      <c r="D55">
        <v>1.5575</v>
      </c>
    </row>
    <row r="56" spans="1:4">
      <c r="A56">
        <v>2</v>
      </c>
      <c r="B56" t="s">
        <v>19</v>
      </c>
      <c r="C56" t="s">
        <v>22</v>
      </c>
      <c r="D56">
        <v>0.505</v>
      </c>
    </row>
    <row r="57" spans="1:4">
      <c r="A57">
        <v>3</v>
      </c>
      <c r="B57" t="s">
        <v>19</v>
      </c>
      <c r="C57" t="s">
        <v>22</v>
      </c>
      <c r="D57">
        <v>0.3175</v>
      </c>
    </row>
    <row r="58" spans="1:4">
      <c r="A58">
        <v>3</v>
      </c>
      <c r="B58" t="s">
        <v>19</v>
      </c>
      <c r="C58" t="s">
        <v>22</v>
      </c>
      <c r="D58">
        <v>0.6025</v>
      </c>
    </row>
    <row r="59" spans="1:4">
      <c r="A59">
        <v>3</v>
      </c>
      <c r="B59" t="s">
        <v>19</v>
      </c>
      <c r="C59" t="s">
        <v>22</v>
      </c>
      <c r="D59">
        <v>0.5625</v>
      </c>
    </row>
    <row r="60" spans="1:4">
      <c r="A60">
        <v>3</v>
      </c>
      <c r="B60" t="s">
        <v>19</v>
      </c>
      <c r="C60" t="s">
        <v>22</v>
      </c>
      <c r="D60">
        <v>1.12</v>
      </c>
    </row>
    <row r="61" spans="1:4">
      <c r="A61">
        <v>3</v>
      </c>
      <c r="B61" t="s">
        <v>19</v>
      </c>
      <c r="C61" t="s">
        <v>22</v>
      </c>
      <c r="D61">
        <v>0.33</v>
      </c>
    </row>
  </sheetData>
  <sortState ref="A2:D61">
    <sortCondition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H1" workbookViewId="0">
      <selection pane="topLeft" activeCell="R13" sqref="R13"/>
    </sheetView>
  </sheetViews>
  <sheetFormatPr baseColWidth="10" defaultRowHeight="15"/>
  <cols>
    <col min="13" max="13" width="17.5" bestFit="1" customWidth="1"/>
  </cols>
  <sheetData>
    <row r="1" spans="1:58">
      <c r="A1" t="s">
        <v>2</v>
      </c>
      <c r="B1" t="s">
        <v>3</v>
      </c>
      <c r="C1" t="s">
        <v>1</v>
      </c>
      <c r="D1" t="s">
        <v>6</v>
      </c>
      <c r="F1" t="s">
        <v>2</v>
      </c>
      <c r="G1">
        <v>0</v>
      </c>
      <c r="H1">
        <v>0</v>
      </c>
      <c r="I1">
        <v>0</v>
      </c>
      <c r="J1">
        <v>0</v>
      </c>
      <c r="K1">
        <v>1</v>
      </c>
      <c r="L1">
        <v>1</v>
      </c>
      <c r="M1">
        <v>1</v>
      </c>
      <c r="N1">
        <v>1</v>
      </c>
      <c r="O1">
        <v>2</v>
      </c>
      <c r="P1">
        <v>2</v>
      </c>
      <c r="Q1">
        <v>2</v>
      </c>
      <c r="R1">
        <v>2</v>
      </c>
      <c r="S1">
        <v>3</v>
      </c>
      <c r="T1">
        <v>3</v>
      </c>
      <c r="U1">
        <v>3</v>
      </c>
      <c r="V1">
        <v>3</v>
      </c>
      <c r="W1">
        <v>0</v>
      </c>
      <c r="X1">
        <v>0</v>
      </c>
      <c r="Y1">
        <v>0</v>
      </c>
      <c r="Z1">
        <v>0</v>
      </c>
      <c r="AA1">
        <v>1</v>
      </c>
      <c r="AB1">
        <v>1</v>
      </c>
      <c r="AC1">
        <v>1</v>
      </c>
      <c r="AD1">
        <v>1</v>
      </c>
      <c r="AE1">
        <v>2</v>
      </c>
      <c r="AF1">
        <v>2</v>
      </c>
      <c r="AG1">
        <v>2</v>
      </c>
      <c r="AH1">
        <v>2</v>
      </c>
      <c r="AI1">
        <v>3</v>
      </c>
      <c r="AJ1">
        <v>3</v>
      </c>
      <c r="AK1">
        <v>3</v>
      </c>
      <c r="AL1">
        <v>3</v>
      </c>
      <c r="AM1">
        <v>0</v>
      </c>
      <c r="AN1">
        <v>0</v>
      </c>
      <c r="AO1">
        <v>0</v>
      </c>
      <c r="AP1">
        <v>0</v>
      </c>
      <c r="AQ1">
        <v>0</v>
      </c>
      <c r="AR1">
        <v>1</v>
      </c>
      <c r="AS1">
        <v>1</v>
      </c>
      <c r="AT1">
        <v>1</v>
      </c>
      <c r="AU1">
        <v>1</v>
      </c>
      <c r="AV1">
        <v>1</v>
      </c>
      <c r="AW1">
        <v>2</v>
      </c>
      <c r="AX1">
        <v>2</v>
      </c>
      <c r="AY1">
        <v>2</v>
      </c>
      <c r="AZ1">
        <v>2</v>
      </c>
      <c r="BA1">
        <v>2</v>
      </c>
      <c r="BB1">
        <v>3</v>
      </c>
      <c r="BC1">
        <v>3</v>
      </c>
      <c r="BD1">
        <v>3</v>
      </c>
      <c r="BE1">
        <v>3</v>
      </c>
      <c r="BF1">
        <v>3</v>
      </c>
    </row>
    <row r="2" spans="1:58">
      <c r="A2">
        <v>0</v>
      </c>
      <c r="B2" t="s">
        <v>19</v>
      </c>
      <c r="C2" t="s">
        <v>41</v>
      </c>
      <c r="D2">
        <v>0.275</v>
      </c>
      <c r="F2" t="s">
        <v>3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</row>
    <row r="3" spans="1:58">
      <c r="A3">
        <v>0</v>
      </c>
      <c r="B3" t="s">
        <v>19</v>
      </c>
      <c r="C3" t="s">
        <v>41</v>
      </c>
      <c r="D3">
        <v>0.0975</v>
      </c>
      <c r="F3" t="s">
        <v>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  <c r="AN3" t="s">
        <v>41</v>
      </c>
      <c r="AO3" t="s">
        <v>41</v>
      </c>
      <c r="AP3" t="s">
        <v>41</v>
      </c>
      <c r="AQ3" t="s">
        <v>41</v>
      </c>
      <c r="AR3" t="s">
        <v>41</v>
      </c>
      <c r="AS3" t="s">
        <v>41</v>
      </c>
      <c r="AT3" t="s">
        <v>41</v>
      </c>
      <c r="AU3" t="s">
        <v>41</v>
      </c>
      <c r="AV3" t="s">
        <v>41</v>
      </c>
      <c r="AW3" t="s">
        <v>41</v>
      </c>
      <c r="AX3" t="s">
        <v>41</v>
      </c>
      <c r="AY3" t="s">
        <v>41</v>
      </c>
      <c r="AZ3" t="s">
        <v>41</v>
      </c>
      <c r="BA3" t="s">
        <v>41</v>
      </c>
      <c r="BB3" t="s">
        <v>41</v>
      </c>
      <c r="BC3" t="s">
        <v>41</v>
      </c>
      <c r="BD3" t="s">
        <v>41</v>
      </c>
      <c r="BE3" t="s">
        <v>41</v>
      </c>
      <c r="BF3" t="s">
        <v>41</v>
      </c>
    </row>
    <row r="4" spans="1:58">
      <c r="A4">
        <v>0</v>
      </c>
      <c r="B4" t="s">
        <v>19</v>
      </c>
      <c r="C4" t="s">
        <v>41</v>
      </c>
      <c r="D4">
        <v>0.13</v>
      </c>
      <c r="F4" t="s">
        <v>6</v>
      </c>
      <c r="G4">
        <v>0.275</v>
      </c>
      <c r="H4">
        <v>0.0975</v>
      </c>
      <c r="I4">
        <v>0.13</v>
      </c>
      <c r="J4">
        <v>0.1675</v>
      </c>
      <c r="K4">
        <v>0.21</v>
      </c>
      <c r="L4">
        <v>0.145</v>
      </c>
      <c r="M4">
        <v>0.1575</v>
      </c>
      <c r="N4">
        <v>0.26</v>
      </c>
      <c r="O4">
        <v>0.175</v>
      </c>
      <c r="P4">
        <v>0.1175</v>
      </c>
      <c r="Q4">
        <v>0.0625</v>
      </c>
      <c r="R4">
        <v>0.1725</v>
      </c>
      <c r="S4">
        <v>0.03</v>
      </c>
      <c r="T4">
        <v>0.0125</v>
      </c>
      <c r="U4">
        <v>0.02</v>
      </c>
      <c r="V4">
        <v>0.03</v>
      </c>
      <c r="W4">
        <v>0.195</v>
      </c>
      <c r="X4">
        <v>0.2425</v>
      </c>
      <c r="Y4">
        <v>0.5</v>
      </c>
      <c r="Z4">
        <v>0.2725</v>
      </c>
      <c r="AA4">
        <v>0.4175</v>
      </c>
      <c r="AB4">
        <v>0.435</v>
      </c>
      <c r="AC4">
        <v>0.6875</v>
      </c>
      <c r="AD4">
        <v>0.6175</v>
      </c>
      <c r="AE4">
        <v>0.415</v>
      </c>
      <c r="AF4">
        <v>0.4025</v>
      </c>
      <c r="AG4">
        <v>0.6825</v>
      </c>
      <c r="AH4">
        <v>0.8625</v>
      </c>
      <c r="AI4">
        <v>0.3975</v>
      </c>
      <c r="AJ4">
        <v>0.58</v>
      </c>
      <c r="AK4">
        <v>0.7575</v>
      </c>
      <c r="AL4">
        <v>1.12</v>
      </c>
      <c r="AM4">
        <v>0.2025</v>
      </c>
      <c r="AN4">
        <v>0.125</v>
      </c>
      <c r="AO4">
        <v>0.2725</v>
      </c>
      <c r="AP4">
        <v>0.2325</v>
      </c>
      <c r="AQ4">
        <v>0.3375</v>
      </c>
      <c r="AR4">
        <v>0.4225</v>
      </c>
      <c r="AS4">
        <v>0.205</v>
      </c>
      <c r="AT4">
        <v>0.53</v>
      </c>
      <c r="AU4">
        <v>0.4125</v>
      </c>
      <c r="AV4">
        <v>0.4575</v>
      </c>
      <c r="AW4">
        <v>0.4575</v>
      </c>
      <c r="AX4">
        <v>0.24</v>
      </c>
      <c r="AY4">
        <v>0.56</v>
      </c>
      <c r="AZ4">
        <v>0.5225</v>
      </c>
      <c r="BA4">
        <v>0.4675</v>
      </c>
      <c r="BB4">
        <v>0.515</v>
      </c>
      <c r="BC4">
        <v>0.2975</v>
      </c>
      <c r="BD4">
        <v>0.83</v>
      </c>
      <c r="BE4">
        <v>0.615</v>
      </c>
      <c r="BF4">
        <v>0.6525</v>
      </c>
    </row>
    <row r="5" spans="1:58">
      <c r="A5">
        <v>0</v>
      </c>
      <c r="B5" t="s">
        <v>19</v>
      </c>
      <c r="C5" t="s">
        <v>41</v>
      </c>
      <c r="D5">
        <v>0.1675</v>
      </c>
    </row>
    <row r="6" spans="1:58">
      <c r="A6">
        <v>1</v>
      </c>
      <c r="B6" t="s">
        <v>19</v>
      </c>
      <c r="C6" t="s">
        <v>41</v>
      </c>
      <c r="D6">
        <v>0.21</v>
      </c>
    </row>
    <row r="7" spans="1:58">
      <c r="A7">
        <v>1</v>
      </c>
      <c r="B7" t="s">
        <v>19</v>
      </c>
      <c r="C7" t="s">
        <v>41</v>
      </c>
      <c r="D7">
        <v>0.145</v>
      </c>
    </row>
    <row r="8" spans="1:58">
      <c r="A8">
        <v>1</v>
      </c>
      <c r="B8" t="s">
        <v>19</v>
      </c>
      <c r="C8" t="s">
        <v>41</v>
      </c>
      <c r="D8">
        <v>0.1575</v>
      </c>
    </row>
    <row r="9" spans="1:58">
      <c r="A9">
        <v>1</v>
      </c>
      <c r="B9" t="s">
        <v>19</v>
      </c>
      <c r="C9" t="s">
        <v>41</v>
      </c>
      <c r="D9">
        <v>0.26</v>
      </c>
      <c r="F9" t="s">
        <v>41</v>
      </c>
      <c r="G9" t="s">
        <v>9</v>
      </c>
      <c r="U9" t="s">
        <v>498</v>
      </c>
      <c r="V9" t="s">
        <v>498</v>
      </c>
      <c r="W9" t="s">
        <v>498</v>
      </c>
    </row>
    <row r="10" spans="1:58">
      <c r="A10">
        <v>2</v>
      </c>
      <c r="B10" t="s">
        <v>19</v>
      </c>
      <c r="C10" t="s">
        <v>41</v>
      </c>
      <c r="D10">
        <v>0.175</v>
      </c>
      <c r="M10" t="s">
        <v>499</v>
      </c>
      <c r="N10" s="2" t="s">
        <v>497</v>
      </c>
      <c r="O10" s="2" t="s">
        <v>498</v>
      </c>
      <c r="Q10" t="s">
        <v>514</v>
      </c>
      <c r="R10" t="s">
        <v>499</v>
      </c>
      <c r="S10" s="1" t="s">
        <v>500</v>
      </c>
      <c r="T10" s="1" t="s">
        <v>501</v>
      </c>
      <c r="U10" t="s">
        <v>499</v>
      </c>
      <c r="V10" s="1" t="s">
        <v>500</v>
      </c>
      <c r="W10" s="1" t="s">
        <v>501</v>
      </c>
    </row>
    <row r="11" spans="1:58">
      <c r="A11">
        <v>2</v>
      </c>
      <c r="B11" t="s">
        <v>19</v>
      </c>
      <c r="C11" t="s">
        <v>41</v>
      </c>
      <c r="D11">
        <v>0.1175</v>
      </c>
      <c r="F11">
        <v>0</v>
      </c>
      <c r="G11">
        <v>0.2025</v>
      </c>
      <c r="H11">
        <v>0.125</v>
      </c>
      <c r="I11">
        <v>0.2725</v>
      </c>
      <c r="J11">
        <v>0.2325</v>
      </c>
      <c r="K11">
        <v>0.3375</v>
      </c>
      <c r="M11">
        <v>0</v>
      </c>
      <c r="N11" s="2">
        <f>AVERAGE(G11:K11)</f>
        <v>0.234</v>
      </c>
      <c r="O11" s="2">
        <f>(STDEV(G11:K11))/(SQRT(COUNT(G11:K11)))</f>
        <v>0.035404801934201</v>
      </c>
      <c r="Q11">
        <v>0</v>
      </c>
      <c r="R11" s="2">
        <f>N11</f>
        <v>0.234</v>
      </c>
      <c r="S11" s="2">
        <f>N22</f>
        <v>0.3025</v>
      </c>
      <c r="T11" s="2">
        <f>N30</f>
        <v>0.1675</v>
      </c>
      <c r="U11" s="2">
        <f>O11</f>
        <v>0.035404801934201</v>
      </c>
      <c r="V11" s="2">
        <f>O22</f>
        <v>0.0677387752079019</v>
      </c>
      <c r="W11" s="2">
        <f>O30</f>
        <v>0.0385816234322335</v>
      </c>
    </row>
    <row r="12" spans="1:58">
      <c r="A12">
        <v>2</v>
      </c>
      <c r="B12" t="s">
        <v>19</v>
      </c>
      <c r="C12" t="s">
        <v>41</v>
      </c>
      <c r="D12">
        <v>0.0625</v>
      </c>
      <c r="F12">
        <v>1</v>
      </c>
      <c r="G12">
        <v>0.4225</v>
      </c>
      <c r="H12">
        <v>0.205</v>
      </c>
      <c r="I12">
        <v>0.53</v>
      </c>
      <c r="J12">
        <v>0.4125</v>
      </c>
      <c r="K12">
        <v>0.4575</v>
      </c>
      <c r="M12">
        <v>1</v>
      </c>
      <c r="N12" s="2">
        <f>AVERAGE(G12:K12)</f>
        <v>0.4055</v>
      </c>
      <c r="O12" s="2">
        <f>(STDEV(G12:K12))/(SQRT(COUNT(G12:K12)))</f>
        <v>0.0541952488692505</v>
      </c>
      <c r="Q12">
        <v>1</v>
      </c>
      <c r="R12" s="2">
        <f>N12</f>
        <v>0.4055</v>
      </c>
      <c r="S12" s="2">
        <f>N23</f>
        <v>0.539375</v>
      </c>
      <c r="T12" s="2">
        <f>N31</f>
        <v>0.193125</v>
      </c>
      <c r="U12" s="2">
        <f>O12</f>
        <v>0.0541952488692505</v>
      </c>
      <c r="V12" s="2">
        <f>O23</f>
        <v>0.0669528363227927</v>
      </c>
      <c r="W12" s="2">
        <f>O31</f>
        <v>0.0263663097847739</v>
      </c>
    </row>
    <row r="13" spans="1:58">
      <c r="A13">
        <v>2</v>
      </c>
      <c r="B13" t="s">
        <v>19</v>
      </c>
      <c r="C13" t="s">
        <v>41</v>
      </c>
      <c r="D13">
        <v>0.1725</v>
      </c>
      <c r="F13">
        <v>2</v>
      </c>
      <c r="G13">
        <v>0.4575</v>
      </c>
      <c r="H13">
        <v>0.24</v>
      </c>
      <c r="I13">
        <v>0.56</v>
      </c>
      <c r="J13">
        <v>0.5225</v>
      </c>
      <c r="K13">
        <v>0.4675</v>
      </c>
      <c r="M13">
        <v>2</v>
      </c>
      <c r="N13" s="2">
        <f>AVERAGE(G13:K13)</f>
        <v>0.4495</v>
      </c>
      <c r="O13" s="2">
        <f>(STDEV(G13:K13))/(SQRT(COUNT(G13:K13)))</f>
        <v>0.0555956383181271</v>
      </c>
      <c r="Q13">
        <v>2</v>
      </c>
      <c r="R13" s="2">
        <f>N13</f>
        <v>0.4495</v>
      </c>
      <c r="S13" s="2">
        <f>N24</f>
        <v>0.590625</v>
      </c>
      <c r="T13" s="2">
        <f>N32</f>
        <v>0.131875</v>
      </c>
      <c r="U13" s="2">
        <f>O13</f>
        <v>0.0555956383181271</v>
      </c>
      <c r="V13" s="2">
        <f>O24</f>
        <v>0.111277501282455</v>
      </c>
      <c r="W13" s="2">
        <f>O32</f>
        <v>0.0266609694434892</v>
      </c>
    </row>
    <row r="14" spans="1:58">
      <c r="A14">
        <v>3</v>
      </c>
      <c r="B14" t="s">
        <v>19</v>
      </c>
      <c r="C14" t="s">
        <v>41</v>
      </c>
      <c r="D14">
        <v>0.03</v>
      </c>
      <c r="F14">
        <v>3</v>
      </c>
      <c r="G14">
        <v>0.515</v>
      </c>
      <c r="H14">
        <v>0.2975</v>
      </c>
      <c r="I14">
        <v>0.83</v>
      </c>
      <c r="J14">
        <v>0.615</v>
      </c>
      <c r="K14">
        <v>0.6525</v>
      </c>
      <c r="M14">
        <v>3</v>
      </c>
      <c r="N14" s="2">
        <f>AVERAGE(G14:K14)</f>
        <v>0.582</v>
      </c>
      <c r="O14" s="2">
        <f>(STDEV(G14:K14))/(SQRT(COUNT(G14:K14)))</f>
        <v>0.0874621346640933</v>
      </c>
      <c r="Q14">
        <v>3</v>
      </c>
      <c r="R14" s="2">
        <f>N14</f>
        <v>0.582</v>
      </c>
      <c r="S14" s="2">
        <f>N25</f>
        <v>0.71375</v>
      </c>
      <c r="T14" s="2">
        <f>N33</f>
        <v>0.023125</v>
      </c>
      <c r="U14" s="2">
        <f>O14</f>
        <v>0.0874621346640933</v>
      </c>
      <c r="V14" s="2">
        <f>O25</f>
        <v>0.154071479623366</v>
      </c>
      <c r="W14" s="2">
        <f>O33</f>
        <v>0.00425428705347128</v>
      </c>
    </row>
    <row r="15" spans="1:58">
      <c r="A15">
        <v>3</v>
      </c>
      <c r="B15" t="s">
        <v>19</v>
      </c>
      <c r="C15" t="s">
        <v>41</v>
      </c>
      <c r="D15">
        <v>0.0125</v>
      </c>
    </row>
    <row r="16" spans="1:58">
      <c r="A16">
        <v>3</v>
      </c>
      <c r="B16" t="s">
        <v>19</v>
      </c>
      <c r="C16" t="s">
        <v>41</v>
      </c>
      <c r="D16">
        <v>0.02</v>
      </c>
    </row>
    <row r="17" spans="1:15">
      <c r="A17">
        <v>3</v>
      </c>
      <c r="B17" t="s">
        <v>19</v>
      </c>
      <c r="C17" t="s">
        <v>41</v>
      </c>
      <c r="D17">
        <v>0.03</v>
      </c>
    </row>
    <row r="18" spans="1:15">
      <c r="A18">
        <v>0</v>
      </c>
      <c r="B18" t="s">
        <v>10</v>
      </c>
      <c r="C18" t="s">
        <v>41</v>
      </c>
      <c r="D18">
        <v>0.195</v>
      </c>
    </row>
    <row r="19" spans="1:15">
      <c r="A19">
        <v>0</v>
      </c>
      <c r="B19" t="s">
        <v>10</v>
      </c>
      <c r="C19" t="s">
        <v>41</v>
      </c>
      <c r="D19">
        <v>0.2425</v>
      </c>
    </row>
    <row r="20" spans="1:15">
      <c r="A20">
        <v>0</v>
      </c>
      <c r="B20" t="s">
        <v>10</v>
      </c>
      <c r="C20" t="s">
        <v>41</v>
      </c>
      <c r="D20">
        <v>0.5</v>
      </c>
      <c r="F20" t="s">
        <v>41</v>
      </c>
      <c r="G20" t="s">
        <v>10</v>
      </c>
    </row>
    <row r="21" spans="1:15">
      <c r="A21">
        <v>0</v>
      </c>
      <c r="B21" t="s">
        <v>10</v>
      </c>
      <c r="C21" t="s">
        <v>41</v>
      </c>
      <c r="D21">
        <v>0.2725</v>
      </c>
      <c r="M21" s="1" t="s">
        <v>500</v>
      </c>
      <c r="N21" s="2" t="s">
        <v>497</v>
      </c>
      <c r="O21" s="2" t="s">
        <v>498</v>
      </c>
    </row>
    <row r="22" spans="1:15">
      <c r="A22">
        <v>1</v>
      </c>
      <c r="B22" t="s">
        <v>10</v>
      </c>
      <c r="C22" t="s">
        <v>41</v>
      </c>
      <c r="D22">
        <v>0.4175</v>
      </c>
      <c r="F22">
        <v>0</v>
      </c>
      <c r="G22">
        <v>0.195</v>
      </c>
      <c r="H22">
        <v>0.2425</v>
      </c>
      <c r="I22">
        <v>0.5</v>
      </c>
      <c r="J22">
        <v>0.2725</v>
      </c>
      <c r="M22">
        <v>0</v>
      </c>
      <c r="N22" s="2">
        <f>AVERAGE(G22:K22)</f>
        <v>0.3025</v>
      </c>
      <c r="O22" s="2">
        <f>(STDEV(G22:K22))/(SQRT(COUNT(G22:K22)))</f>
        <v>0.0677387752079019</v>
      </c>
    </row>
    <row r="23" spans="1:15">
      <c r="A23">
        <v>1</v>
      </c>
      <c r="B23" t="s">
        <v>10</v>
      </c>
      <c r="C23" t="s">
        <v>41</v>
      </c>
      <c r="D23">
        <v>0.435</v>
      </c>
      <c r="F23">
        <v>1</v>
      </c>
      <c r="G23">
        <v>0.4175</v>
      </c>
      <c r="H23">
        <v>0.435</v>
      </c>
      <c r="I23">
        <v>0.6875</v>
      </c>
      <c r="J23">
        <v>0.6175</v>
      </c>
      <c r="M23">
        <v>1</v>
      </c>
      <c r="N23" s="2">
        <f>AVERAGE(G23:K23)</f>
        <v>0.539375</v>
      </c>
      <c r="O23" s="2">
        <f>(STDEV(G23:K23))/(SQRT(COUNT(G23:K23)))</f>
        <v>0.0669528363227927</v>
      </c>
    </row>
    <row r="24" spans="1:15">
      <c r="A24">
        <v>1</v>
      </c>
      <c r="B24" t="s">
        <v>10</v>
      </c>
      <c r="C24" t="s">
        <v>41</v>
      </c>
      <c r="D24">
        <v>0.6875</v>
      </c>
      <c r="F24">
        <v>2</v>
      </c>
      <c r="G24">
        <v>0.415</v>
      </c>
      <c r="H24">
        <v>0.4025</v>
      </c>
      <c r="I24">
        <v>0.6825</v>
      </c>
      <c r="J24">
        <v>0.8625</v>
      </c>
      <c r="M24">
        <v>2</v>
      </c>
      <c r="N24" s="2">
        <f>AVERAGE(G24:K24)</f>
        <v>0.590625</v>
      </c>
      <c r="O24" s="2">
        <f>(STDEV(G24:K24))/(SQRT(COUNT(G24:K24)))</f>
        <v>0.111277501282455</v>
      </c>
    </row>
    <row r="25" spans="1:15">
      <c r="A25">
        <v>1</v>
      </c>
      <c r="B25" t="s">
        <v>10</v>
      </c>
      <c r="C25" t="s">
        <v>41</v>
      </c>
      <c r="D25">
        <v>0.6175</v>
      </c>
      <c r="F25">
        <v>3</v>
      </c>
      <c r="G25">
        <v>0.3975</v>
      </c>
      <c r="H25">
        <v>0.58</v>
      </c>
      <c r="I25">
        <v>0.7575</v>
      </c>
      <c r="J25">
        <v>1.12</v>
      </c>
      <c r="M25">
        <v>3</v>
      </c>
      <c r="N25" s="2">
        <f>AVERAGE(G25:K25)</f>
        <v>0.71375</v>
      </c>
      <c r="O25" s="2">
        <f>(STDEV(G25:K25))/(SQRT(COUNT(G25:K25)))</f>
        <v>0.154071479623366</v>
      </c>
    </row>
    <row r="26" spans="1:15">
      <c r="A26">
        <v>2</v>
      </c>
      <c r="B26" t="s">
        <v>10</v>
      </c>
      <c r="C26" t="s">
        <v>41</v>
      </c>
      <c r="D26">
        <v>0.415</v>
      </c>
    </row>
    <row r="27" spans="1:15">
      <c r="A27">
        <v>2</v>
      </c>
      <c r="B27" t="s">
        <v>10</v>
      </c>
      <c r="C27" t="s">
        <v>41</v>
      </c>
      <c r="D27">
        <v>0.4025</v>
      </c>
    </row>
    <row r="28" spans="1:15">
      <c r="A28">
        <v>2</v>
      </c>
      <c r="B28" t="s">
        <v>10</v>
      </c>
      <c r="C28" t="s">
        <v>41</v>
      </c>
      <c r="D28">
        <v>0.6825</v>
      </c>
      <c r="F28" t="s">
        <v>41</v>
      </c>
      <c r="G28" t="s">
        <v>19</v>
      </c>
    </row>
    <row r="29" spans="1:15">
      <c r="A29">
        <v>2</v>
      </c>
      <c r="B29" t="s">
        <v>10</v>
      </c>
      <c r="C29" t="s">
        <v>41</v>
      </c>
      <c r="D29">
        <v>0.8625</v>
      </c>
      <c r="M29" s="1" t="s">
        <v>501</v>
      </c>
      <c r="N29" s="2" t="s">
        <v>497</v>
      </c>
      <c r="O29" s="2" t="s">
        <v>498</v>
      </c>
    </row>
    <row r="30" spans="1:15">
      <c r="A30">
        <v>3</v>
      </c>
      <c r="B30" t="s">
        <v>10</v>
      </c>
      <c r="C30" t="s">
        <v>41</v>
      </c>
      <c r="D30">
        <v>0.3975</v>
      </c>
      <c r="F30">
        <v>0</v>
      </c>
      <c r="G30">
        <v>0.275</v>
      </c>
      <c r="H30">
        <v>0.0975</v>
      </c>
      <c r="I30">
        <v>0.13</v>
      </c>
      <c r="J30">
        <v>0.1675</v>
      </c>
      <c r="M30">
        <v>0</v>
      </c>
      <c r="N30" s="2">
        <f>AVERAGE(G30:K30)</f>
        <v>0.1675</v>
      </c>
      <c r="O30" s="2">
        <f>(STDEV(G30:K30))/(SQRT(COUNT(G30:K30)))</f>
        <v>0.0385816234322335</v>
      </c>
    </row>
    <row r="31" spans="1:15">
      <c r="A31">
        <v>3</v>
      </c>
      <c r="B31" t="s">
        <v>10</v>
      </c>
      <c r="C31" t="s">
        <v>41</v>
      </c>
      <c r="D31">
        <v>0.58</v>
      </c>
      <c r="F31">
        <v>1</v>
      </c>
      <c r="G31">
        <v>0.21</v>
      </c>
      <c r="H31">
        <v>0.145</v>
      </c>
      <c r="I31">
        <v>0.1575</v>
      </c>
      <c r="J31">
        <v>0.26</v>
      </c>
      <c r="M31">
        <v>1</v>
      </c>
      <c r="N31" s="2">
        <f>AVERAGE(G31:K31)</f>
        <v>0.193125</v>
      </c>
      <c r="O31" s="2">
        <f>(STDEV(G31:K31))/(SQRT(COUNT(G31:K31)))</f>
        <v>0.0263663097847739</v>
      </c>
    </row>
    <row r="32" spans="1:15">
      <c r="A32">
        <v>3</v>
      </c>
      <c r="B32" t="s">
        <v>10</v>
      </c>
      <c r="C32" t="s">
        <v>41</v>
      </c>
      <c r="D32">
        <v>0.7575</v>
      </c>
      <c r="F32">
        <v>2</v>
      </c>
      <c r="G32">
        <v>0.175</v>
      </c>
      <c r="H32">
        <v>0.1175</v>
      </c>
      <c r="I32">
        <v>0.0625</v>
      </c>
      <c r="J32">
        <v>0.1725</v>
      </c>
      <c r="M32">
        <v>2</v>
      </c>
      <c r="N32" s="2">
        <f>AVERAGE(G32:K32)</f>
        <v>0.131875</v>
      </c>
      <c r="O32" s="2">
        <f>(STDEV(G32:K32))/(SQRT(COUNT(G32:K32)))</f>
        <v>0.0266609694434892</v>
      </c>
    </row>
    <row r="33" spans="1:15">
      <c r="A33">
        <v>3</v>
      </c>
      <c r="B33" t="s">
        <v>10</v>
      </c>
      <c r="C33" t="s">
        <v>41</v>
      </c>
      <c r="D33">
        <v>1.12</v>
      </c>
      <c r="F33">
        <v>3</v>
      </c>
      <c r="G33">
        <v>0.03</v>
      </c>
      <c r="H33">
        <v>0.0125</v>
      </c>
      <c r="I33">
        <v>0.02</v>
      </c>
      <c r="J33">
        <v>0.03</v>
      </c>
      <c r="M33">
        <v>3</v>
      </c>
      <c r="N33" s="2">
        <f>AVERAGE(G33:K33)</f>
        <v>0.023125</v>
      </c>
      <c r="O33" s="2">
        <f>(STDEV(G33:K33))/(SQRT(COUNT(G33:K33)))</f>
        <v>0.00425428705347128</v>
      </c>
    </row>
    <row r="34" spans="1:15">
      <c r="A34">
        <v>0</v>
      </c>
      <c r="B34" t="s">
        <v>9</v>
      </c>
      <c r="C34" t="s">
        <v>41</v>
      </c>
      <c r="D34">
        <v>0.2025</v>
      </c>
    </row>
    <row r="35" spans="1:15">
      <c r="A35">
        <v>0</v>
      </c>
      <c r="B35" t="s">
        <v>9</v>
      </c>
      <c r="C35" t="s">
        <v>41</v>
      </c>
      <c r="D35">
        <v>0.125</v>
      </c>
    </row>
    <row r="36" spans="1:15">
      <c r="A36">
        <v>0</v>
      </c>
      <c r="B36" t="s">
        <v>9</v>
      </c>
      <c r="C36" t="s">
        <v>41</v>
      </c>
      <c r="D36">
        <v>0.2725</v>
      </c>
    </row>
    <row r="37" spans="1:15">
      <c r="A37">
        <v>0</v>
      </c>
      <c r="B37" t="s">
        <v>9</v>
      </c>
      <c r="C37" t="s">
        <v>41</v>
      </c>
      <c r="D37">
        <v>0.2325</v>
      </c>
    </row>
    <row r="38" spans="1:15">
      <c r="A38">
        <v>0</v>
      </c>
      <c r="B38" t="s">
        <v>9</v>
      </c>
      <c r="C38" t="s">
        <v>41</v>
      </c>
      <c r="D38">
        <v>0.3375</v>
      </c>
    </row>
    <row r="39" spans="1:15">
      <c r="A39">
        <v>1</v>
      </c>
      <c r="B39" t="s">
        <v>9</v>
      </c>
      <c r="C39" t="s">
        <v>41</v>
      </c>
      <c r="D39">
        <v>0.4225</v>
      </c>
    </row>
    <row r="40" spans="1:15">
      <c r="A40">
        <v>1</v>
      </c>
      <c r="B40" t="s">
        <v>9</v>
      </c>
      <c r="C40" t="s">
        <v>41</v>
      </c>
      <c r="D40">
        <v>0.205</v>
      </c>
    </row>
    <row r="41" spans="1:15">
      <c r="A41">
        <v>1</v>
      </c>
      <c r="B41" t="s">
        <v>9</v>
      </c>
      <c r="C41" t="s">
        <v>41</v>
      </c>
      <c r="D41">
        <v>0.53</v>
      </c>
    </row>
    <row r="42" spans="1:15">
      <c r="A42">
        <v>1</v>
      </c>
      <c r="B42" t="s">
        <v>9</v>
      </c>
      <c r="C42" t="s">
        <v>41</v>
      </c>
      <c r="D42">
        <v>0.4125</v>
      </c>
    </row>
    <row r="43" spans="1:15">
      <c r="A43">
        <v>1</v>
      </c>
      <c r="B43" t="s">
        <v>9</v>
      </c>
      <c r="C43" t="s">
        <v>41</v>
      </c>
      <c r="D43">
        <v>0.4575</v>
      </c>
    </row>
    <row r="44" spans="1:15">
      <c r="A44">
        <v>2</v>
      </c>
      <c r="B44" t="s">
        <v>9</v>
      </c>
      <c r="C44" t="s">
        <v>41</v>
      </c>
      <c r="D44">
        <v>0.4575</v>
      </c>
    </row>
    <row r="45" spans="1:15">
      <c r="A45">
        <v>2</v>
      </c>
      <c r="B45" t="s">
        <v>9</v>
      </c>
      <c r="C45" t="s">
        <v>41</v>
      </c>
      <c r="D45">
        <v>0.24</v>
      </c>
    </row>
    <row r="46" spans="1:15">
      <c r="A46">
        <v>2</v>
      </c>
      <c r="B46" t="s">
        <v>9</v>
      </c>
      <c r="C46" t="s">
        <v>41</v>
      </c>
      <c r="D46">
        <v>0.56</v>
      </c>
    </row>
    <row r="47" spans="1:15">
      <c r="A47">
        <v>2</v>
      </c>
      <c r="B47" t="s">
        <v>9</v>
      </c>
      <c r="C47" t="s">
        <v>41</v>
      </c>
      <c r="D47">
        <v>0.5225</v>
      </c>
    </row>
    <row r="48" spans="1:15">
      <c r="A48">
        <v>2</v>
      </c>
      <c r="B48" t="s">
        <v>9</v>
      </c>
      <c r="C48" t="s">
        <v>41</v>
      </c>
      <c r="D48">
        <v>0.4675</v>
      </c>
    </row>
    <row r="49" spans="1:4">
      <c r="A49">
        <v>3</v>
      </c>
      <c r="B49" t="s">
        <v>9</v>
      </c>
      <c r="C49" t="s">
        <v>41</v>
      </c>
      <c r="D49">
        <v>0.515</v>
      </c>
    </row>
    <row r="50" spans="1:4">
      <c r="A50">
        <v>3</v>
      </c>
      <c r="B50" t="s">
        <v>9</v>
      </c>
      <c r="C50" t="s">
        <v>41</v>
      </c>
      <c r="D50">
        <v>0.2975</v>
      </c>
    </row>
    <row r="51" spans="1:4">
      <c r="A51">
        <v>3</v>
      </c>
      <c r="B51" t="s">
        <v>9</v>
      </c>
      <c r="C51" t="s">
        <v>41</v>
      </c>
      <c r="D51">
        <v>0.83</v>
      </c>
    </row>
    <row r="52" spans="1:4">
      <c r="A52">
        <v>3</v>
      </c>
      <c r="B52" t="s">
        <v>9</v>
      </c>
      <c r="C52" t="s">
        <v>41</v>
      </c>
      <c r="D52">
        <v>0.615</v>
      </c>
    </row>
    <row r="53" spans="1:4">
      <c r="A53">
        <v>3</v>
      </c>
      <c r="B53" t="s">
        <v>9</v>
      </c>
      <c r="C53" t="s">
        <v>41</v>
      </c>
      <c r="D53">
        <v>0.6525</v>
      </c>
    </row>
  </sheetData>
  <sortState ref="A2:D53">
    <sortCondition descending="1"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J2" workbookViewId="0">
      <selection pane="topLeft" activeCell="U13" sqref="U13"/>
    </sheetView>
  </sheetViews>
  <sheetFormatPr baseColWidth="10" defaultRowHeight="15"/>
  <cols>
    <col min="14" max="14" width="17.5" bestFit="1" customWidth="1"/>
  </cols>
  <sheetData>
    <row r="1" spans="1:70">
      <c r="A1" t="s">
        <v>2</v>
      </c>
      <c r="B1" t="s">
        <v>3</v>
      </c>
      <c r="C1" t="s">
        <v>1</v>
      </c>
      <c r="D1" t="s">
        <v>6</v>
      </c>
      <c r="F1" t="s">
        <v>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2</v>
      </c>
      <c r="T1">
        <v>2</v>
      </c>
      <c r="U1">
        <v>2</v>
      </c>
      <c r="V1">
        <v>2</v>
      </c>
      <c r="W1">
        <v>2</v>
      </c>
      <c r="X1">
        <v>2</v>
      </c>
      <c r="Y1">
        <v>3</v>
      </c>
      <c r="Z1">
        <v>3</v>
      </c>
      <c r="AA1">
        <v>3</v>
      </c>
      <c r="AB1">
        <v>3</v>
      </c>
      <c r="AC1">
        <v>3</v>
      </c>
      <c r="AD1">
        <v>3</v>
      </c>
      <c r="AE1">
        <v>0</v>
      </c>
      <c r="AF1">
        <v>0</v>
      </c>
      <c r="AG1">
        <v>0</v>
      </c>
      <c r="AH1">
        <v>0</v>
      </c>
      <c r="AI1">
        <v>0</v>
      </c>
      <c r="AJ1">
        <v>1</v>
      </c>
      <c r="AK1">
        <v>1</v>
      </c>
      <c r="AL1">
        <v>1</v>
      </c>
      <c r="AM1">
        <v>1</v>
      </c>
      <c r="AN1">
        <v>1</v>
      </c>
      <c r="AO1">
        <v>2</v>
      </c>
      <c r="AP1">
        <v>2</v>
      </c>
      <c r="AQ1">
        <v>2</v>
      </c>
      <c r="AR1">
        <v>2</v>
      </c>
      <c r="AS1">
        <v>2</v>
      </c>
      <c r="AT1">
        <v>3</v>
      </c>
      <c r="AU1">
        <v>3</v>
      </c>
      <c r="AV1">
        <v>3</v>
      </c>
      <c r="AW1">
        <v>3</v>
      </c>
      <c r="AX1">
        <v>3</v>
      </c>
      <c r="AY1">
        <v>0</v>
      </c>
      <c r="AZ1">
        <v>0</v>
      </c>
      <c r="BA1">
        <v>0</v>
      </c>
      <c r="BB1">
        <v>0</v>
      </c>
      <c r="BC1">
        <v>0</v>
      </c>
      <c r="BD1">
        <v>1</v>
      </c>
      <c r="BE1">
        <v>1</v>
      </c>
      <c r="BF1">
        <v>1</v>
      </c>
      <c r="BG1">
        <v>1</v>
      </c>
      <c r="BH1">
        <v>1</v>
      </c>
      <c r="BI1">
        <v>2</v>
      </c>
      <c r="BJ1">
        <v>2</v>
      </c>
      <c r="BK1">
        <v>2</v>
      </c>
      <c r="BL1">
        <v>2</v>
      </c>
      <c r="BM1">
        <v>2</v>
      </c>
      <c r="BN1">
        <v>3</v>
      </c>
      <c r="BO1">
        <v>3</v>
      </c>
      <c r="BP1">
        <v>3</v>
      </c>
      <c r="BQ1">
        <v>3</v>
      </c>
      <c r="BR1">
        <v>3</v>
      </c>
    </row>
    <row r="2" spans="1:70">
      <c r="A2">
        <v>0</v>
      </c>
      <c r="B2" t="s">
        <v>9</v>
      </c>
      <c r="C2" t="s">
        <v>8</v>
      </c>
      <c r="D2">
        <v>1.01</v>
      </c>
      <c r="F2" t="s">
        <v>3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19</v>
      </c>
      <c r="AZ2" t="s">
        <v>19</v>
      </c>
      <c r="BA2" t="s">
        <v>19</v>
      </c>
      <c r="BB2" t="s">
        <v>19</v>
      </c>
      <c r="BC2" t="s">
        <v>19</v>
      </c>
      <c r="BD2" t="s">
        <v>19</v>
      </c>
      <c r="BE2" t="s">
        <v>19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  <c r="BP2" t="s">
        <v>19</v>
      </c>
      <c r="BQ2" t="s">
        <v>19</v>
      </c>
      <c r="BR2" t="s">
        <v>19</v>
      </c>
    </row>
    <row r="3" spans="1:70">
      <c r="A3">
        <v>0</v>
      </c>
      <c r="B3" t="s">
        <v>9</v>
      </c>
      <c r="C3" t="s">
        <v>8</v>
      </c>
      <c r="D3">
        <v>1.0725</v>
      </c>
      <c r="F3" t="s">
        <v>1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  <c r="AE3" t="s">
        <v>8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t="s">
        <v>8</v>
      </c>
      <c r="AO3" t="s">
        <v>8</v>
      </c>
      <c r="AP3" t="s">
        <v>8</v>
      </c>
      <c r="AQ3" t="s">
        <v>8</v>
      </c>
      <c r="AR3" t="s">
        <v>8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 t="s">
        <v>8</v>
      </c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8</v>
      </c>
      <c r="BF3" t="s">
        <v>8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8</v>
      </c>
      <c r="BM3" t="s">
        <v>8</v>
      </c>
      <c r="BN3" t="s">
        <v>8</v>
      </c>
      <c r="BO3" t="s">
        <v>8</v>
      </c>
      <c r="BP3" t="s">
        <v>8</v>
      </c>
      <c r="BQ3" t="s">
        <v>8</v>
      </c>
      <c r="BR3" t="s">
        <v>8</v>
      </c>
    </row>
    <row r="4" spans="1:70">
      <c r="A4">
        <v>0</v>
      </c>
      <c r="B4" t="s">
        <v>9</v>
      </c>
      <c r="C4" t="s">
        <v>8</v>
      </c>
      <c r="D4">
        <v>2.71</v>
      </c>
      <c r="F4" t="s">
        <v>6</v>
      </c>
      <c r="G4">
        <v>1.01</v>
      </c>
      <c r="H4">
        <v>1.0725</v>
      </c>
      <c r="I4">
        <v>2.71</v>
      </c>
      <c r="J4">
        <v>0.715</v>
      </c>
      <c r="K4">
        <v>0.6025</v>
      </c>
      <c r="L4">
        <v>0.805</v>
      </c>
      <c r="M4">
        <v>1.825</v>
      </c>
      <c r="N4">
        <v>1.73</v>
      </c>
      <c r="O4">
        <v>4.13</v>
      </c>
      <c r="P4">
        <v>1.0975</v>
      </c>
      <c r="Q4">
        <v>1.13</v>
      </c>
      <c r="R4">
        <v>1.225</v>
      </c>
      <c r="S4">
        <v>2.0525</v>
      </c>
      <c r="T4">
        <v>2.3925</v>
      </c>
      <c r="U4">
        <v>5.31</v>
      </c>
      <c r="V4">
        <v>1.22</v>
      </c>
      <c r="W4">
        <v>1.4575</v>
      </c>
      <c r="X4">
        <v>1.4375</v>
      </c>
      <c r="Y4">
        <v>2.685</v>
      </c>
      <c r="Z4">
        <v>3.075</v>
      </c>
      <c r="AA4">
        <v>6.155</v>
      </c>
      <c r="AB4">
        <v>1.65</v>
      </c>
      <c r="AC4">
        <v>1.95</v>
      </c>
      <c r="AD4">
        <v>2.1175</v>
      </c>
      <c r="AE4">
        <v>0.3725</v>
      </c>
      <c r="AF4">
        <v>0.535</v>
      </c>
      <c r="AG4">
        <v>0.225</v>
      </c>
      <c r="AH4">
        <v>0.0625</v>
      </c>
      <c r="AI4">
        <v>1.8325</v>
      </c>
      <c r="AJ4">
        <v>0.605</v>
      </c>
      <c r="AK4">
        <v>0.7925</v>
      </c>
      <c r="AL4">
        <v>0.3225</v>
      </c>
      <c r="AM4">
        <v>0.1075</v>
      </c>
      <c r="AN4">
        <v>2.685</v>
      </c>
      <c r="AO4">
        <v>0.555</v>
      </c>
      <c r="AP4">
        <v>1.1175</v>
      </c>
      <c r="AQ4">
        <v>0.355</v>
      </c>
      <c r="AR4">
        <v>0.1175</v>
      </c>
      <c r="AS4">
        <v>3.535</v>
      </c>
      <c r="AT4">
        <v>0.545</v>
      </c>
      <c r="AU4">
        <v>1.0125</v>
      </c>
      <c r="AV4">
        <v>0.4975</v>
      </c>
      <c r="AW4">
        <v>0.145</v>
      </c>
      <c r="AX4">
        <v>5.05</v>
      </c>
      <c r="AY4">
        <v>1.07</v>
      </c>
      <c r="AZ4">
        <v>1.3625</v>
      </c>
      <c r="BA4">
        <v>0.745</v>
      </c>
      <c r="BB4">
        <v>2.775</v>
      </c>
      <c r="BC4">
        <v>1.3475</v>
      </c>
      <c r="BD4">
        <v>1.23</v>
      </c>
      <c r="BE4">
        <v>1.015</v>
      </c>
      <c r="BF4">
        <v>1.7725</v>
      </c>
      <c r="BG4">
        <v>0.8425</v>
      </c>
      <c r="BH4">
        <v>3.105</v>
      </c>
      <c r="BI4">
        <v>1.0225</v>
      </c>
      <c r="BJ4">
        <v>0.9175</v>
      </c>
      <c r="BK4">
        <v>1.7725</v>
      </c>
      <c r="BL4">
        <v>0.625</v>
      </c>
      <c r="BM4">
        <v>2.8375</v>
      </c>
      <c r="BN4">
        <v>0.655</v>
      </c>
      <c r="BO4">
        <v>0.665</v>
      </c>
      <c r="BP4">
        <v>1.21</v>
      </c>
      <c r="BQ4">
        <v>0.5</v>
      </c>
      <c r="BR4">
        <v>1.445</v>
      </c>
    </row>
    <row r="5" spans="1:70">
      <c r="A5">
        <v>0</v>
      </c>
      <c r="B5" t="s">
        <v>9</v>
      </c>
      <c r="C5" t="s">
        <v>8</v>
      </c>
      <c r="D5">
        <v>0.715</v>
      </c>
    </row>
    <row r="6" spans="1:70">
      <c r="A6">
        <v>0</v>
      </c>
      <c r="B6" t="s">
        <v>9</v>
      </c>
      <c r="C6" t="s">
        <v>8</v>
      </c>
      <c r="D6">
        <v>0.6025</v>
      </c>
    </row>
    <row r="7" spans="1:70">
      <c r="A7">
        <v>0</v>
      </c>
      <c r="B7" t="s">
        <v>9</v>
      </c>
      <c r="C7" t="s">
        <v>8</v>
      </c>
      <c r="D7">
        <v>0.805</v>
      </c>
    </row>
    <row r="8" spans="1:70">
      <c r="A8">
        <v>1</v>
      </c>
      <c r="B8" t="s">
        <v>9</v>
      </c>
      <c r="C8" t="s">
        <v>8</v>
      </c>
      <c r="D8">
        <v>1.825</v>
      </c>
      <c r="F8" t="s">
        <v>8</v>
      </c>
      <c r="G8" t="s">
        <v>9</v>
      </c>
      <c r="V8" t="s">
        <v>498</v>
      </c>
      <c r="W8" t="s">
        <v>498</v>
      </c>
      <c r="X8" t="s">
        <v>498</v>
      </c>
    </row>
    <row r="9" spans="1:70">
      <c r="A9">
        <v>1</v>
      </c>
      <c r="B9" t="s">
        <v>9</v>
      </c>
      <c r="C9" t="s">
        <v>8</v>
      </c>
      <c r="D9">
        <v>1.73</v>
      </c>
      <c r="N9" t="s">
        <v>502</v>
      </c>
      <c r="O9" s="2" t="s">
        <v>497</v>
      </c>
      <c r="P9" s="2" t="s">
        <v>498</v>
      </c>
      <c r="R9" t="s">
        <v>514</v>
      </c>
      <c r="S9" t="s">
        <v>502</v>
      </c>
      <c r="T9" s="1" t="s">
        <v>503</v>
      </c>
      <c r="U9" s="1" t="s">
        <v>504</v>
      </c>
      <c r="V9" t="s">
        <v>502</v>
      </c>
      <c r="W9" s="1" t="s">
        <v>503</v>
      </c>
      <c r="X9" s="1" t="s">
        <v>504</v>
      </c>
    </row>
    <row r="10" spans="1:70">
      <c r="A10">
        <v>1</v>
      </c>
      <c r="B10" t="s">
        <v>9</v>
      </c>
      <c r="C10" t="s">
        <v>8</v>
      </c>
      <c r="D10">
        <v>4.13</v>
      </c>
      <c r="F10">
        <v>0</v>
      </c>
      <c r="G10">
        <v>1.01</v>
      </c>
      <c r="H10">
        <v>1.0725</v>
      </c>
      <c r="I10">
        <v>2.71</v>
      </c>
      <c r="J10">
        <v>0.715</v>
      </c>
      <c r="K10">
        <v>0.6025</v>
      </c>
      <c r="L10">
        <v>0.805</v>
      </c>
      <c r="N10" s="1">
        <v>0</v>
      </c>
      <c r="O10" s="2">
        <f>AVERAGE(H10:L10)</f>
        <v>1.181</v>
      </c>
      <c r="P10" s="2">
        <f>(STDEV(H10:L10))/(SQRT(COUNT(H10:L10)))</f>
        <v>0.390051759385854</v>
      </c>
      <c r="R10">
        <v>0</v>
      </c>
      <c r="S10" s="2">
        <f>O10</f>
        <v>1.181</v>
      </c>
      <c r="T10" s="2">
        <f>O19</f>
        <v>0.66375</v>
      </c>
      <c r="U10" s="2">
        <f>O29</f>
        <v>1.5575</v>
      </c>
      <c r="V10" s="2">
        <f>P10</f>
        <v>0.390051759385854</v>
      </c>
      <c r="W10" s="2">
        <f>P19</f>
        <v>0.401720907471842</v>
      </c>
      <c r="X10" s="2">
        <f>P29</f>
        <v>0.430560439040405</v>
      </c>
    </row>
    <row r="11" spans="1:70">
      <c r="A11">
        <v>1</v>
      </c>
      <c r="B11" t="s">
        <v>9</v>
      </c>
      <c r="C11" t="s">
        <v>8</v>
      </c>
      <c r="D11">
        <v>1.0975</v>
      </c>
      <c r="F11">
        <v>1</v>
      </c>
      <c r="G11">
        <v>1.825</v>
      </c>
      <c r="H11">
        <v>1.73</v>
      </c>
      <c r="I11">
        <v>4.13</v>
      </c>
      <c r="J11">
        <v>1.0975</v>
      </c>
      <c r="K11">
        <v>1.13</v>
      </c>
      <c r="L11">
        <v>1.225</v>
      </c>
      <c r="N11" s="1">
        <v>1</v>
      </c>
      <c r="O11" s="2">
        <f>AVERAGE(H11:L11)</f>
        <v>1.8625</v>
      </c>
      <c r="P11" s="2">
        <f>(STDEV(H11:L11))/(SQRT(COUNT(H11:L11)))</f>
        <v>0.578243028492346</v>
      </c>
      <c r="R11">
        <v>1</v>
      </c>
      <c r="S11" s="2">
        <f>O11</f>
        <v>1.8625</v>
      </c>
      <c r="T11" s="2">
        <f>O20</f>
        <v>0.976875</v>
      </c>
      <c r="U11" s="2">
        <f>O30</f>
        <v>1.68375</v>
      </c>
      <c r="V11" s="2">
        <f>P11</f>
        <v>0.578243028492346</v>
      </c>
      <c r="W11" s="2">
        <f>P20</f>
        <v>0.587062226081415</v>
      </c>
      <c r="X11" s="2">
        <f>P30</f>
        <v>0.515004550950766</v>
      </c>
    </row>
    <row r="12" spans="1:70">
      <c r="A12">
        <v>1</v>
      </c>
      <c r="B12" t="s">
        <v>9</v>
      </c>
      <c r="C12" t="s">
        <v>8</v>
      </c>
      <c r="D12">
        <v>1.13</v>
      </c>
      <c r="F12">
        <v>2</v>
      </c>
      <c r="G12">
        <v>2.0525</v>
      </c>
      <c r="H12">
        <v>2.3925</v>
      </c>
      <c r="I12">
        <v>5.31</v>
      </c>
      <c r="J12">
        <v>1.22</v>
      </c>
      <c r="K12">
        <v>1.4575</v>
      </c>
      <c r="L12">
        <v>1.4375</v>
      </c>
      <c r="N12" s="1">
        <v>2</v>
      </c>
      <c r="O12" s="2">
        <f>AVERAGE(H12:L12)</f>
        <v>2.3635</v>
      </c>
      <c r="P12" s="2">
        <f>(STDEV(H12:L12))/(SQRT(COUNT(H12:L12)))</f>
        <v>0.763826141867375</v>
      </c>
      <c r="R12">
        <v>2</v>
      </c>
      <c r="S12" s="2">
        <f>O12</f>
        <v>2.3635</v>
      </c>
      <c r="T12" s="2">
        <f>O21</f>
        <v>1.28125</v>
      </c>
      <c r="U12" s="2">
        <f>O31</f>
        <v>1.538125</v>
      </c>
      <c r="V12" s="2">
        <f>P12</f>
        <v>0.763826141867375</v>
      </c>
      <c r="W12" s="2">
        <f>P21</f>
        <v>0.780942606192457</v>
      </c>
      <c r="X12" s="2">
        <f>P31</f>
        <v>0.496846697307127</v>
      </c>
    </row>
    <row r="13" spans="1:70">
      <c r="A13">
        <v>1</v>
      </c>
      <c r="B13" t="s">
        <v>9</v>
      </c>
      <c r="C13" t="s">
        <v>8</v>
      </c>
      <c r="D13">
        <v>1.225</v>
      </c>
      <c r="F13">
        <v>3</v>
      </c>
      <c r="G13">
        <v>2.685</v>
      </c>
      <c r="H13">
        <v>3.075</v>
      </c>
      <c r="I13">
        <v>6.155</v>
      </c>
      <c r="J13">
        <v>1.65</v>
      </c>
      <c r="K13">
        <v>1.95</v>
      </c>
      <c r="L13">
        <v>2.1175</v>
      </c>
      <c r="N13" s="1">
        <v>3</v>
      </c>
      <c r="O13" s="2">
        <f>AVERAGE(H13:L13)</f>
        <v>2.9895</v>
      </c>
      <c r="P13" s="2">
        <f>(STDEV(H13:L13))/(SQRT(COUNT(H13:L13)))</f>
        <v>0.826526012899775</v>
      </c>
      <c r="R13">
        <v>3</v>
      </c>
      <c r="S13" s="2">
        <f>O13</f>
        <v>2.9895</v>
      </c>
      <c r="T13" s="2">
        <f>O22</f>
        <v>1.67625</v>
      </c>
      <c r="U13" s="2">
        <f>O32</f>
        <v>0.955</v>
      </c>
      <c r="V13" s="2">
        <f>P13</f>
        <v>0.826526012899775</v>
      </c>
      <c r="W13" s="2">
        <f>P22</f>
        <v>1.13860042925514</v>
      </c>
      <c r="X13" s="2">
        <f>P32</f>
        <v>0.222906931251588</v>
      </c>
    </row>
    <row r="14" spans="1:70">
      <c r="A14">
        <v>2</v>
      </c>
      <c r="B14" t="s">
        <v>9</v>
      </c>
      <c r="C14" t="s">
        <v>8</v>
      </c>
      <c r="D14">
        <v>2.0525</v>
      </c>
    </row>
    <row r="15" spans="1:70">
      <c r="A15">
        <v>2</v>
      </c>
      <c r="B15" t="s">
        <v>9</v>
      </c>
      <c r="C15" t="s">
        <v>8</v>
      </c>
      <c r="D15">
        <v>2.3925</v>
      </c>
    </row>
    <row r="16" spans="1:70">
      <c r="A16">
        <v>2</v>
      </c>
      <c r="B16" t="s">
        <v>9</v>
      </c>
      <c r="C16" t="s">
        <v>8</v>
      </c>
      <c r="D16">
        <v>5.31</v>
      </c>
    </row>
    <row r="17" spans="1:16">
      <c r="A17">
        <v>2</v>
      </c>
      <c r="B17" t="s">
        <v>9</v>
      </c>
      <c r="C17" t="s">
        <v>8</v>
      </c>
      <c r="D17">
        <v>1.22</v>
      </c>
      <c r="F17" t="s">
        <v>8</v>
      </c>
      <c r="G17" t="s">
        <v>10</v>
      </c>
    </row>
    <row r="18" spans="1:16">
      <c r="A18">
        <v>2</v>
      </c>
      <c r="B18" t="s">
        <v>9</v>
      </c>
      <c r="C18" t="s">
        <v>8</v>
      </c>
      <c r="D18">
        <v>1.4575</v>
      </c>
      <c r="N18" s="1" t="s">
        <v>503</v>
      </c>
      <c r="O18" s="2" t="s">
        <v>497</v>
      </c>
      <c r="P18" s="2" t="s">
        <v>498</v>
      </c>
    </row>
    <row r="19" spans="1:16">
      <c r="A19">
        <v>2</v>
      </c>
      <c r="B19" t="s">
        <v>9</v>
      </c>
      <c r="C19" t="s">
        <v>8</v>
      </c>
      <c r="D19">
        <v>1.4375</v>
      </c>
      <c r="F19">
        <v>0</v>
      </c>
      <c r="G19">
        <v>0.3725</v>
      </c>
      <c r="H19">
        <v>0.535</v>
      </c>
      <c r="I19">
        <v>0.225</v>
      </c>
      <c r="J19">
        <v>0.0625</v>
      </c>
      <c r="K19">
        <v>1.8325</v>
      </c>
      <c r="N19" s="1">
        <v>0</v>
      </c>
      <c r="O19" s="2">
        <f>AVERAGE(H19:L19)</f>
        <v>0.66375</v>
      </c>
      <c r="P19" s="2">
        <f>(STDEV(H19:L19))/(SQRT(COUNT(H19:L19)))</f>
        <v>0.401720907471842</v>
      </c>
    </row>
    <row r="20" spans="1:16">
      <c r="A20">
        <v>3</v>
      </c>
      <c r="B20" t="s">
        <v>9</v>
      </c>
      <c r="C20" t="s">
        <v>8</v>
      </c>
      <c r="D20">
        <v>2.685</v>
      </c>
      <c r="F20">
        <v>1</v>
      </c>
      <c r="G20">
        <v>0.605</v>
      </c>
      <c r="H20">
        <v>0.7925</v>
      </c>
      <c r="I20">
        <v>0.3225</v>
      </c>
      <c r="J20">
        <v>0.1075</v>
      </c>
      <c r="K20">
        <v>2.685</v>
      </c>
      <c r="N20" s="1">
        <v>1</v>
      </c>
      <c r="O20" s="2">
        <f>AVERAGE(H20:L20)</f>
        <v>0.976875</v>
      </c>
      <c r="P20" s="2">
        <f>(STDEV(H20:L20))/(SQRT(COUNT(H20:L20)))</f>
        <v>0.587062226081415</v>
      </c>
    </row>
    <row r="21" spans="1:16">
      <c r="A21">
        <v>3</v>
      </c>
      <c r="B21" t="s">
        <v>9</v>
      </c>
      <c r="C21" t="s">
        <v>8</v>
      </c>
      <c r="D21">
        <v>3.075</v>
      </c>
      <c r="F21">
        <v>2</v>
      </c>
      <c r="G21">
        <v>0.555</v>
      </c>
      <c r="H21">
        <v>1.1175</v>
      </c>
      <c r="I21">
        <v>0.355</v>
      </c>
      <c r="J21">
        <v>0.1175</v>
      </c>
      <c r="K21">
        <v>3.535</v>
      </c>
      <c r="N21" s="1">
        <v>2</v>
      </c>
      <c r="O21" s="2">
        <f>AVERAGE(H21:L21)</f>
        <v>1.28125</v>
      </c>
      <c r="P21" s="2">
        <f>(STDEV(H21:L21))/(SQRT(COUNT(H21:L21)))</f>
        <v>0.780942606192457</v>
      </c>
    </row>
    <row r="22" spans="1:16">
      <c r="A22">
        <v>3</v>
      </c>
      <c r="B22" t="s">
        <v>9</v>
      </c>
      <c r="C22" t="s">
        <v>8</v>
      </c>
      <c r="D22">
        <v>6.155</v>
      </c>
      <c r="F22">
        <v>3</v>
      </c>
      <c r="G22">
        <v>0.545</v>
      </c>
      <c r="H22">
        <v>1.0125</v>
      </c>
      <c r="I22">
        <v>0.4975</v>
      </c>
      <c r="J22">
        <v>0.145</v>
      </c>
      <c r="K22">
        <v>5.05</v>
      </c>
      <c r="N22" s="1">
        <v>3</v>
      </c>
      <c r="O22" s="2">
        <f>AVERAGE(H22:L22)</f>
        <v>1.67625</v>
      </c>
      <c r="P22" s="2">
        <f>(STDEV(H22:L22))/(SQRT(COUNT(H22:L22)))</f>
        <v>1.13860042925514</v>
      </c>
    </row>
    <row r="23" spans="1:16">
      <c r="A23">
        <v>3</v>
      </c>
      <c r="B23" t="s">
        <v>9</v>
      </c>
      <c r="C23" t="s">
        <v>8</v>
      </c>
      <c r="D23">
        <v>1.65</v>
      </c>
    </row>
    <row r="24" spans="1:16">
      <c r="A24">
        <v>3</v>
      </c>
      <c r="B24" t="s">
        <v>9</v>
      </c>
      <c r="C24" t="s">
        <v>8</v>
      </c>
      <c r="D24">
        <v>1.95</v>
      </c>
    </row>
    <row r="25" spans="1:16">
      <c r="A25">
        <v>3</v>
      </c>
      <c r="B25" t="s">
        <v>9</v>
      </c>
      <c r="C25" t="s">
        <v>8</v>
      </c>
      <c r="D25">
        <v>2.1175</v>
      </c>
    </row>
    <row r="26" spans="1:16">
      <c r="A26">
        <v>0</v>
      </c>
      <c r="B26" t="s">
        <v>10</v>
      </c>
      <c r="C26" t="s">
        <v>8</v>
      </c>
      <c r="D26">
        <v>0.3725</v>
      </c>
    </row>
    <row r="27" spans="1:16">
      <c r="A27">
        <v>0</v>
      </c>
      <c r="B27" t="s">
        <v>10</v>
      </c>
      <c r="C27" t="s">
        <v>8</v>
      </c>
      <c r="D27">
        <v>0.535</v>
      </c>
      <c r="F27" t="s">
        <v>8</v>
      </c>
      <c r="G27" t="s">
        <v>19</v>
      </c>
    </row>
    <row r="28" spans="1:16">
      <c r="A28">
        <v>0</v>
      </c>
      <c r="B28" t="s">
        <v>10</v>
      </c>
      <c r="C28" t="s">
        <v>8</v>
      </c>
      <c r="D28">
        <v>0.225</v>
      </c>
      <c r="N28" s="1" t="s">
        <v>504</v>
      </c>
      <c r="O28" s="2" t="s">
        <v>497</v>
      </c>
      <c r="P28" s="2" t="s">
        <v>498</v>
      </c>
    </row>
    <row r="29" spans="1:16">
      <c r="A29">
        <v>0</v>
      </c>
      <c r="B29" t="s">
        <v>10</v>
      </c>
      <c r="C29" t="s">
        <v>8</v>
      </c>
      <c r="D29">
        <v>0.0625</v>
      </c>
      <c r="F29">
        <v>0</v>
      </c>
      <c r="G29">
        <v>1.07</v>
      </c>
      <c r="H29">
        <v>1.3625</v>
      </c>
      <c r="I29">
        <v>0.745</v>
      </c>
      <c r="J29">
        <v>2.775</v>
      </c>
      <c r="K29">
        <v>1.3475</v>
      </c>
      <c r="N29" s="1">
        <v>0</v>
      </c>
      <c r="O29" s="2">
        <f>AVERAGE(H29:L29)</f>
        <v>1.5575</v>
      </c>
      <c r="P29" s="2">
        <f>(STDEV(H29:L29))/(SQRT(COUNT(H29:L29)))</f>
        <v>0.430560439040405</v>
      </c>
    </row>
    <row r="30" spans="1:16">
      <c r="A30">
        <v>0</v>
      </c>
      <c r="B30" t="s">
        <v>10</v>
      </c>
      <c r="C30" t="s">
        <v>8</v>
      </c>
      <c r="D30">
        <v>1.8325</v>
      </c>
      <c r="F30">
        <v>1</v>
      </c>
      <c r="G30">
        <v>1.23</v>
      </c>
      <c r="H30">
        <v>1.015</v>
      </c>
      <c r="I30">
        <v>1.7725</v>
      </c>
      <c r="J30">
        <v>0.8425</v>
      </c>
      <c r="K30">
        <v>3.105</v>
      </c>
      <c r="N30" s="1">
        <v>1</v>
      </c>
      <c r="O30" s="2">
        <f>AVERAGE(H30:L30)</f>
        <v>1.68375</v>
      </c>
      <c r="P30" s="2">
        <f>(STDEV(H30:L30))/(SQRT(COUNT(H30:L30)))</f>
        <v>0.515004550950766</v>
      </c>
    </row>
    <row r="31" spans="1:16">
      <c r="A31">
        <v>1</v>
      </c>
      <c r="B31" t="s">
        <v>10</v>
      </c>
      <c r="C31" t="s">
        <v>8</v>
      </c>
      <c r="D31">
        <v>0.605</v>
      </c>
      <c r="F31">
        <v>2</v>
      </c>
      <c r="G31">
        <v>1.0225</v>
      </c>
      <c r="H31">
        <v>0.9175</v>
      </c>
      <c r="I31">
        <v>1.7725</v>
      </c>
      <c r="J31">
        <v>0.625</v>
      </c>
      <c r="K31">
        <v>2.8375</v>
      </c>
      <c r="N31" s="1">
        <v>2</v>
      </c>
      <c r="O31" s="2">
        <f>AVERAGE(H31:L31)</f>
        <v>1.538125</v>
      </c>
      <c r="P31" s="2">
        <f>(STDEV(H31:L31))/(SQRT(COUNT(H31:L31)))</f>
        <v>0.496846697307127</v>
      </c>
    </row>
    <row r="32" spans="1:16">
      <c r="A32">
        <v>1</v>
      </c>
      <c r="B32" t="s">
        <v>10</v>
      </c>
      <c r="C32" t="s">
        <v>8</v>
      </c>
      <c r="D32">
        <v>0.7925</v>
      </c>
      <c r="F32">
        <v>3</v>
      </c>
      <c r="G32">
        <v>0.655</v>
      </c>
      <c r="H32">
        <v>0.665</v>
      </c>
      <c r="I32">
        <v>1.21</v>
      </c>
      <c r="J32">
        <v>0.5</v>
      </c>
      <c r="K32">
        <v>1.445</v>
      </c>
      <c r="N32" s="1">
        <v>3</v>
      </c>
      <c r="O32" s="2">
        <f>AVERAGE(H32:L32)</f>
        <v>0.955</v>
      </c>
      <c r="P32" s="2">
        <f>(STDEV(H32:L32))/(SQRT(COUNT(H32:L32)))</f>
        <v>0.222906931251588</v>
      </c>
    </row>
    <row r="33" spans="1:4">
      <c r="A33">
        <v>1</v>
      </c>
      <c r="B33" t="s">
        <v>10</v>
      </c>
      <c r="C33" t="s">
        <v>8</v>
      </c>
      <c r="D33">
        <v>0.3225</v>
      </c>
    </row>
    <row r="34" spans="1:4">
      <c r="A34">
        <v>1</v>
      </c>
      <c r="B34" t="s">
        <v>10</v>
      </c>
      <c r="C34" t="s">
        <v>8</v>
      </c>
      <c r="D34">
        <v>0.1075</v>
      </c>
    </row>
    <row r="35" spans="1:4">
      <c r="A35">
        <v>1</v>
      </c>
      <c r="B35" t="s">
        <v>10</v>
      </c>
      <c r="C35" t="s">
        <v>8</v>
      </c>
      <c r="D35">
        <v>2.685</v>
      </c>
    </row>
    <row r="36" spans="1:4">
      <c r="A36">
        <v>2</v>
      </c>
      <c r="B36" t="s">
        <v>10</v>
      </c>
      <c r="C36" t="s">
        <v>8</v>
      </c>
      <c r="D36">
        <v>0.555</v>
      </c>
    </row>
    <row r="37" spans="1:4">
      <c r="A37">
        <v>2</v>
      </c>
      <c r="B37" t="s">
        <v>10</v>
      </c>
      <c r="C37" t="s">
        <v>8</v>
      </c>
      <c r="D37">
        <v>1.1175</v>
      </c>
    </row>
    <row r="38" spans="1:4">
      <c r="A38">
        <v>2</v>
      </c>
      <c r="B38" t="s">
        <v>10</v>
      </c>
      <c r="C38" t="s">
        <v>8</v>
      </c>
      <c r="D38">
        <v>0.355</v>
      </c>
    </row>
    <row r="39" spans="1:4">
      <c r="A39">
        <v>2</v>
      </c>
      <c r="B39" t="s">
        <v>10</v>
      </c>
      <c r="C39" t="s">
        <v>8</v>
      </c>
      <c r="D39">
        <v>0.1175</v>
      </c>
    </row>
    <row r="40" spans="1:4">
      <c r="A40">
        <v>2</v>
      </c>
      <c r="B40" t="s">
        <v>10</v>
      </c>
      <c r="C40" t="s">
        <v>8</v>
      </c>
      <c r="D40">
        <v>3.535</v>
      </c>
    </row>
    <row r="41" spans="1:4">
      <c r="A41">
        <v>3</v>
      </c>
      <c r="B41" t="s">
        <v>10</v>
      </c>
      <c r="C41" t="s">
        <v>8</v>
      </c>
      <c r="D41">
        <v>0.545</v>
      </c>
    </row>
    <row r="42" spans="1:4">
      <c r="A42">
        <v>3</v>
      </c>
      <c r="B42" t="s">
        <v>10</v>
      </c>
      <c r="C42" t="s">
        <v>8</v>
      </c>
      <c r="D42">
        <v>1.0125</v>
      </c>
    </row>
    <row r="43" spans="1:4">
      <c r="A43">
        <v>3</v>
      </c>
      <c r="B43" t="s">
        <v>10</v>
      </c>
      <c r="C43" t="s">
        <v>8</v>
      </c>
      <c r="D43">
        <v>0.4975</v>
      </c>
    </row>
    <row r="44" spans="1:4">
      <c r="A44">
        <v>3</v>
      </c>
      <c r="B44" t="s">
        <v>10</v>
      </c>
      <c r="C44" t="s">
        <v>8</v>
      </c>
      <c r="D44">
        <v>0.145</v>
      </c>
    </row>
    <row r="45" spans="1:4">
      <c r="A45">
        <v>3</v>
      </c>
      <c r="B45" t="s">
        <v>10</v>
      </c>
      <c r="C45" t="s">
        <v>8</v>
      </c>
      <c r="D45">
        <v>5.05</v>
      </c>
    </row>
    <row r="46" spans="1:4">
      <c r="A46">
        <v>0</v>
      </c>
      <c r="B46" t="s">
        <v>19</v>
      </c>
      <c r="C46" t="s">
        <v>8</v>
      </c>
      <c r="D46">
        <v>1.07</v>
      </c>
    </row>
    <row r="47" spans="1:4">
      <c r="A47">
        <v>0</v>
      </c>
      <c r="B47" t="s">
        <v>19</v>
      </c>
      <c r="C47" t="s">
        <v>8</v>
      </c>
      <c r="D47">
        <v>1.3625</v>
      </c>
    </row>
    <row r="48" spans="1:4">
      <c r="A48">
        <v>0</v>
      </c>
      <c r="B48" t="s">
        <v>19</v>
      </c>
      <c r="C48" t="s">
        <v>8</v>
      </c>
      <c r="D48">
        <v>0.745</v>
      </c>
    </row>
    <row r="49" spans="1:4">
      <c r="A49">
        <v>0</v>
      </c>
      <c r="B49" t="s">
        <v>19</v>
      </c>
      <c r="C49" t="s">
        <v>8</v>
      </c>
      <c r="D49">
        <v>2.775</v>
      </c>
    </row>
    <row r="50" spans="1:4">
      <c r="A50">
        <v>0</v>
      </c>
      <c r="B50" t="s">
        <v>19</v>
      </c>
      <c r="C50" t="s">
        <v>8</v>
      </c>
      <c r="D50">
        <v>1.3475</v>
      </c>
    </row>
    <row r="51" spans="1:4">
      <c r="A51">
        <v>1</v>
      </c>
      <c r="B51" t="s">
        <v>19</v>
      </c>
      <c r="C51" t="s">
        <v>8</v>
      </c>
      <c r="D51">
        <v>1.23</v>
      </c>
    </row>
    <row r="52" spans="1:4">
      <c r="A52">
        <v>1</v>
      </c>
      <c r="B52" t="s">
        <v>19</v>
      </c>
      <c r="C52" t="s">
        <v>8</v>
      </c>
      <c r="D52">
        <v>1.015</v>
      </c>
    </row>
    <row r="53" spans="1:4">
      <c r="A53">
        <v>1</v>
      </c>
      <c r="B53" t="s">
        <v>19</v>
      </c>
      <c r="C53" t="s">
        <v>8</v>
      </c>
      <c r="D53">
        <v>1.7725</v>
      </c>
    </row>
    <row r="54" spans="1:4">
      <c r="A54">
        <v>1</v>
      </c>
      <c r="B54" t="s">
        <v>19</v>
      </c>
      <c r="C54" t="s">
        <v>8</v>
      </c>
      <c r="D54">
        <v>0.8425</v>
      </c>
    </row>
    <row r="55" spans="1:4">
      <c r="A55">
        <v>1</v>
      </c>
      <c r="B55" t="s">
        <v>19</v>
      </c>
      <c r="C55" t="s">
        <v>8</v>
      </c>
      <c r="D55">
        <v>3.105</v>
      </c>
    </row>
    <row r="56" spans="1:4">
      <c r="A56">
        <v>2</v>
      </c>
      <c r="B56" t="s">
        <v>19</v>
      </c>
      <c r="C56" t="s">
        <v>8</v>
      </c>
      <c r="D56">
        <v>1.0225</v>
      </c>
    </row>
    <row r="57" spans="1:4">
      <c r="A57">
        <v>2</v>
      </c>
      <c r="B57" t="s">
        <v>19</v>
      </c>
      <c r="C57" t="s">
        <v>8</v>
      </c>
      <c r="D57">
        <v>0.9175</v>
      </c>
    </row>
    <row r="58" spans="1:4">
      <c r="A58">
        <v>2</v>
      </c>
      <c r="B58" t="s">
        <v>19</v>
      </c>
      <c r="C58" t="s">
        <v>8</v>
      </c>
      <c r="D58">
        <v>1.7725</v>
      </c>
    </row>
    <row r="59" spans="1:4">
      <c r="A59">
        <v>2</v>
      </c>
      <c r="B59" t="s">
        <v>19</v>
      </c>
      <c r="C59" t="s">
        <v>8</v>
      </c>
      <c r="D59">
        <v>0.625</v>
      </c>
    </row>
    <row r="60" spans="1:4">
      <c r="A60">
        <v>2</v>
      </c>
      <c r="B60" t="s">
        <v>19</v>
      </c>
      <c r="C60" t="s">
        <v>8</v>
      </c>
      <c r="D60">
        <v>2.8375</v>
      </c>
    </row>
    <row r="61" spans="1:4">
      <c r="A61">
        <v>3</v>
      </c>
      <c r="B61" t="s">
        <v>19</v>
      </c>
      <c r="C61" t="s">
        <v>8</v>
      </c>
      <c r="D61">
        <v>0.655</v>
      </c>
    </row>
    <row r="62" spans="1:4">
      <c r="A62">
        <v>3</v>
      </c>
      <c r="B62" t="s">
        <v>19</v>
      </c>
      <c r="C62" t="s">
        <v>8</v>
      </c>
      <c r="D62">
        <v>0.665</v>
      </c>
    </row>
    <row r="63" spans="1:4">
      <c r="A63">
        <v>3</v>
      </c>
      <c r="B63" t="s">
        <v>19</v>
      </c>
      <c r="C63" t="s">
        <v>8</v>
      </c>
      <c r="D63">
        <v>1.21</v>
      </c>
    </row>
    <row r="64" spans="1:4">
      <c r="A64">
        <v>3</v>
      </c>
      <c r="B64" t="s">
        <v>19</v>
      </c>
      <c r="C64" t="s">
        <v>8</v>
      </c>
      <c r="D64">
        <v>0.5</v>
      </c>
    </row>
    <row r="65" spans="1:4">
      <c r="A65">
        <v>3</v>
      </c>
      <c r="B65" t="s">
        <v>19</v>
      </c>
      <c r="C65" t="s">
        <v>8</v>
      </c>
      <c r="D65">
        <v>1.445</v>
      </c>
    </row>
  </sheetData>
  <sortState ref="A2:D65">
    <sortCondition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D1" workbookViewId="0">
      <selection pane="topLeft" activeCell="K25" sqref="K25"/>
    </sheetView>
  </sheetViews>
  <sheetFormatPr baseColWidth="10" defaultRowHeight="15"/>
  <cols>
    <col min="13" max="13" width="17.6640625" customWidth="1"/>
    <col min="18" max="18" width="15.1640625" bestFit="1" customWidth="1"/>
  </cols>
  <sheetData>
    <row r="1" spans="1:62">
      <c r="A1" t="s">
        <v>2</v>
      </c>
      <c r="B1" t="s">
        <v>3</v>
      </c>
      <c r="C1" t="s">
        <v>1</v>
      </c>
      <c r="D1" t="s">
        <v>6</v>
      </c>
      <c r="F1" t="s">
        <v>2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1</v>
      </c>
      <c r="N1">
        <v>1</v>
      </c>
      <c r="O1">
        <v>1</v>
      </c>
      <c r="P1">
        <v>1</v>
      </c>
      <c r="Q1">
        <v>2</v>
      </c>
      <c r="R1">
        <v>2</v>
      </c>
      <c r="S1">
        <v>2</v>
      </c>
      <c r="T1">
        <v>2</v>
      </c>
      <c r="U1">
        <v>2</v>
      </c>
      <c r="V1">
        <v>3</v>
      </c>
      <c r="W1">
        <v>3</v>
      </c>
      <c r="X1">
        <v>3</v>
      </c>
      <c r="Y1">
        <v>3</v>
      </c>
      <c r="Z1">
        <v>3</v>
      </c>
      <c r="AA1">
        <v>0</v>
      </c>
      <c r="AB1">
        <v>0</v>
      </c>
      <c r="AC1">
        <v>0</v>
      </c>
      <c r="AD1">
        <v>0</v>
      </c>
      <c r="AE1">
        <v>1</v>
      </c>
      <c r="AF1">
        <v>1</v>
      </c>
      <c r="AG1">
        <v>1</v>
      </c>
      <c r="AH1">
        <v>1</v>
      </c>
      <c r="AI1">
        <v>2</v>
      </c>
      <c r="AJ1">
        <v>2</v>
      </c>
      <c r="AK1">
        <v>2</v>
      </c>
      <c r="AL1">
        <v>2</v>
      </c>
      <c r="AM1">
        <v>3</v>
      </c>
      <c r="AN1">
        <v>3</v>
      </c>
      <c r="AO1">
        <v>3</v>
      </c>
      <c r="AP1">
        <v>3</v>
      </c>
      <c r="AQ1">
        <v>0</v>
      </c>
      <c r="AR1">
        <v>0</v>
      </c>
      <c r="AS1">
        <v>0</v>
      </c>
      <c r="AT1">
        <v>0</v>
      </c>
      <c r="AU1">
        <v>0</v>
      </c>
      <c r="AV1">
        <v>1</v>
      </c>
      <c r="AW1">
        <v>1</v>
      </c>
      <c r="AX1">
        <v>1</v>
      </c>
      <c r="AY1">
        <v>1</v>
      </c>
      <c r="AZ1">
        <v>1</v>
      </c>
      <c r="BA1">
        <v>2</v>
      </c>
      <c r="BB1">
        <v>2</v>
      </c>
      <c r="BC1">
        <v>2</v>
      </c>
      <c r="BD1">
        <v>2</v>
      </c>
      <c r="BE1">
        <v>2</v>
      </c>
      <c r="BF1">
        <v>3</v>
      </c>
      <c r="BG1">
        <v>3</v>
      </c>
      <c r="BH1">
        <v>3</v>
      </c>
      <c r="BI1">
        <v>3</v>
      </c>
      <c r="BJ1">
        <v>3</v>
      </c>
    </row>
    <row r="2" spans="1:62">
      <c r="A2">
        <v>0</v>
      </c>
      <c r="B2" t="s">
        <v>19</v>
      </c>
      <c r="C2" t="s">
        <v>13</v>
      </c>
      <c r="D2">
        <v>0.875</v>
      </c>
      <c r="F2" t="s">
        <v>3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19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</row>
    <row r="3" spans="1:62">
      <c r="A3">
        <v>0</v>
      </c>
      <c r="B3" t="s">
        <v>19</v>
      </c>
      <c r="C3" t="s">
        <v>13</v>
      </c>
      <c r="D3">
        <v>0.715</v>
      </c>
      <c r="F3" t="s">
        <v>1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t="s">
        <v>13</v>
      </c>
      <c r="AW3" t="s">
        <v>13</v>
      </c>
      <c r="AX3" t="s">
        <v>13</v>
      </c>
      <c r="AY3" t="s">
        <v>13</v>
      </c>
      <c r="AZ3" t="s">
        <v>13</v>
      </c>
      <c r="BA3" t="s">
        <v>13</v>
      </c>
      <c r="BB3" t="s">
        <v>13</v>
      </c>
      <c r="BC3" t="s">
        <v>13</v>
      </c>
      <c r="BD3" t="s">
        <v>13</v>
      </c>
      <c r="BE3" t="s">
        <v>13</v>
      </c>
      <c r="BF3" t="s">
        <v>13</v>
      </c>
      <c r="BG3" t="s">
        <v>13</v>
      </c>
      <c r="BH3" t="s">
        <v>13</v>
      </c>
      <c r="BI3" t="s">
        <v>13</v>
      </c>
      <c r="BJ3" t="s">
        <v>13</v>
      </c>
    </row>
    <row r="4" spans="1:62">
      <c r="A4">
        <v>0</v>
      </c>
      <c r="B4" t="s">
        <v>19</v>
      </c>
      <c r="C4" t="s">
        <v>13</v>
      </c>
      <c r="D4">
        <v>0.4725</v>
      </c>
      <c r="F4" t="s">
        <v>6</v>
      </c>
      <c r="G4" s="2">
        <v>0.875</v>
      </c>
      <c r="H4" s="2">
        <v>0.715</v>
      </c>
      <c r="I4" s="2">
        <v>0.4725</v>
      </c>
      <c r="J4" s="2">
        <v>1.2275</v>
      </c>
      <c r="K4" s="2">
        <v>0.9175</v>
      </c>
      <c r="L4" s="2">
        <v>1.065</v>
      </c>
      <c r="M4" s="2">
        <v>0.73</v>
      </c>
      <c r="N4" s="2">
        <v>0.615</v>
      </c>
      <c r="O4" s="2">
        <v>1.555</v>
      </c>
      <c r="P4" s="2">
        <v>1.0075</v>
      </c>
      <c r="Q4" s="2">
        <v>0.8425</v>
      </c>
      <c r="R4" s="2">
        <v>0.6375</v>
      </c>
      <c r="S4" s="2">
        <v>0.585</v>
      </c>
      <c r="T4" s="2">
        <v>1.4475</v>
      </c>
      <c r="U4" s="2">
        <v>0.875</v>
      </c>
      <c r="V4" s="2">
        <v>0.5875</v>
      </c>
      <c r="W4" s="2">
        <v>0.4175</v>
      </c>
      <c r="X4" s="2">
        <v>0.395</v>
      </c>
      <c r="Y4" s="2">
        <v>1.0875</v>
      </c>
      <c r="Z4" s="2">
        <v>0.465</v>
      </c>
      <c r="AA4">
        <v>1.0225</v>
      </c>
      <c r="AB4">
        <v>0.68</v>
      </c>
      <c r="AC4">
        <v>0.115</v>
      </c>
      <c r="AD4">
        <v>0.4525</v>
      </c>
      <c r="AE4">
        <v>1.6425</v>
      </c>
      <c r="AF4">
        <v>1.0225</v>
      </c>
      <c r="AG4">
        <v>0.3025</v>
      </c>
      <c r="AH4">
        <v>0.855</v>
      </c>
      <c r="AI4">
        <v>1.905</v>
      </c>
      <c r="AJ4">
        <v>1.47</v>
      </c>
      <c r="AK4">
        <v>0.33</v>
      </c>
      <c r="AL4">
        <v>1.0675</v>
      </c>
      <c r="AM4">
        <v>2.6425</v>
      </c>
      <c r="AN4">
        <v>1.93</v>
      </c>
      <c r="AO4">
        <v>0.4225</v>
      </c>
      <c r="AP4">
        <v>1.365</v>
      </c>
      <c r="AQ4">
        <v>0.1775</v>
      </c>
      <c r="AR4">
        <v>0.4275</v>
      </c>
      <c r="AS4">
        <v>1.735</v>
      </c>
      <c r="AT4">
        <v>0.35</v>
      </c>
      <c r="AU4">
        <v>2.6325</v>
      </c>
      <c r="AV4">
        <v>0.38</v>
      </c>
      <c r="AW4">
        <v>0.8975</v>
      </c>
      <c r="AX4">
        <v>2.9475</v>
      </c>
      <c r="AY4">
        <v>0.69</v>
      </c>
      <c r="AZ4">
        <v>4.8975</v>
      </c>
      <c r="BA4">
        <v>0.5025</v>
      </c>
      <c r="BB4">
        <v>1.32</v>
      </c>
      <c r="BC4">
        <v>3.5075</v>
      </c>
      <c r="BD4">
        <v>1.025</v>
      </c>
      <c r="BE4">
        <v>5.3175</v>
      </c>
      <c r="BF4">
        <v>0.7425</v>
      </c>
      <c r="BG4">
        <v>1.82</v>
      </c>
      <c r="BH4">
        <v>4.59</v>
      </c>
      <c r="BI4">
        <v>1.4025</v>
      </c>
      <c r="BJ4">
        <v>6.28</v>
      </c>
    </row>
    <row r="5" spans="1:62">
      <c r="A5">
        <v>0</v>
      </c>
      <c r="B5" t="s">
        <v>19</v>
      </c>
      <c r="C5" t="s">
        <v>13</v>
      </c>
      <c r="D5">
        <v>1.2275</v>
      </c>
    </row>
    <row r="6" spans="1:62">
      <c r="A6">
        <v>0</v>
      </c>
      <c r="B6" t="s">
        <v>19</v>
      </c>
      <c r="C6" t="s">
        <v>13</v>
      </c>
      <c r="D6">
        <v>0.9175</v>
      </c>
    </row>
    <row r="7" spans="1:62">
      <c r="A7">
        <v>1</v>
      </c>
      <c r="B7" t="s">
        <v>19</v>
      </c>
      <c r="C7" t="s">
        <v>13</v>
      </c>
      <c r="D7">
        <v>1.065</v>
      </c>
    </row>
    <row r="8" spans="1:62">
      <c r="A8">
        <v>1</v>
      </c>
      <c r="B8" t="s">
        <v>19</v>
      </c>
      <c r="C8" t="s">
        <v>13</v>
      </c>
      <c r="D8">
        <v>0.73</v>
      </c>
      <c r="F8" t="s">
        <v>13</v>
      </c>
      <c r="G8" t="s">
        <v>9</v>
      </c>
    </row>
    <row r="9" spans="1:62">
      <c r="A9">
        <v>1</v>
      </c>
      <c r="B9" t="s">
        <v>19</v>
      </c>
      <c r="C9" t="s">
        <v>13</v>
      </c>
      <c r="D9">
        <v>0.615</v>
      </c>
      <c r="Q9" s="1"/>
      <c r="R9" s="1"/>
      <c r="S9" s="1"/>
      <c r="T9" s="1"/>
      <c r="U9" s="1" t="s">
        <v>498</v>
      </c>
      <c r="V9" s="1" t="s">
        <v>498</v>
      </c>
      <c r="W9" s="1" t="s">
        <v>498</v>
      </c>
    </row>
    <row r="10" spans="1:62">
      <c r="A10">
        <v>1</v>
      </c>
      <c r="B10" t="s">
        <v>19</v>
      </c>
      <c r="C10" t="s">
        <v>13</v>
      </c>
      <c r="D10">
        <v>1.555</v>
      </c>
      <c r="M10" t="s">
        <v>505</v>
      </c>
      <c r="N10" s="2" t="s">
        <v>497</v>
      </c>
      <c r="O10" s="2" t="s">
        <v>498</v>
      </c>
      <c r="Q10" s="1" t="s">
        <v>514</v>
      </c>
      <c r="R10" s="1" t="s">
        <v>505</v>
      </c>
      <c r="S10" s="1" t="s">
        <v>506</v>
      </c>
      <c r="T10" s="1" t="s">
        <v>507</v>
      </c>
      <c r="U10" s="1" t="s">
        <v>505</v>
      </c>
      <c r="V10" s="1" t="s">
        <v>506</v>
      </c>
      <c r="W10" s="1" t="s">
        <v>507</v>
      </c>
    </row>
    <row r="11" spans="1:62">
      <c r="A11">
        <v>1</v>
      </c>
      <c r="B11" t="s">
        <v>19</v>
      </c>
      <c r="C11" t="s">
        <v>13</v>
      </c>
      <c r="D11">
        <v>1.0075</v>
      </c>
      <c r="F11" s="3">
        <v>0</v>
      </c>
      <c r="G11">
        <v>1.1775</v>
      </c>
      <c r="H11">
        <v>0.4275</v>
      </c>
      <c r="I11">
        <v>1.735</v>
      </c>
      <c r="J11">
        <v>0.35</v>
      </c>
      <c r="K11">
        <v>2.6325</v>
      </c>
      <c r="M11" s="1">
        <v>0</v>
      </c>
      <c r="N11" s="2">
        <f>AVERAGE(G11:K11)</f>
        <v>1.2645</v>
      </c>
      <c r="O11" s="2">
        <f>(STDEV(G11:K11))/(SQRT(COUNT(G11:K11)))</f>
        <v>0.426452957546316</v>
      </c>
      <c r="Q11" s="1">
        <v>0</v>
      </c>
      <c r="R11" s="1">
        <f>N11</f>
        <v>1.2645</v>
      </c>
      <c r="S11" s="1">
        <f>N20</f>
        <v>0.5675</v>
      </c>
      <c r="T11" s="1">
        <f>N28</f>
        <v>0.8415</v>
      </c>
      <c r="U11" s="1">
        <f>O11</f>
        <v>0.426452957546316</v>
      </c>
      <c r="V11" s="1">
        <f>O20</f>
        <v>0.190976111071516</v>
      </c>
      <c r="W11" s="1">
        <f>O28</f>
        <v>0.124108319624431</v>
      </c>
    </row>
    <row r="12" spans="1:62">
      <c r="A12">
        <v>2</v>
      </c>
      <c r="B12" t="s">
        <v>19</v>
      </c>
      <c r="C12" t="s">
        <v>13</v>
      </c>
      <c r="D12">
        <v>0.8425</v>
      </c>
      <c r="F12" s="3">
        <v>1</v>
      </c>
      <c r="G12">
        <v>1.38</v>
      </c>
      <c r="H12">
        <v>0.8975</v>
      </c>
      <c r="I12">
        <v>2.9475</v>
      </c>
      <c r="J12">
        <v>0.69</v>
      </c>
      <c r="K12">
        <v>4.8975</v>
      </c>
      <c r="M12" s="1">
        <v>1</v>
      </c>
      <c r="N12" s="2">
        <f>AVERAGE(G12:K12)</f>
        <v>2.1625</v>
      </c>
      <c r="O12" s="2">
        <f>(STDEV(G12:K12))/(SQRT(COUNT(G12:K12)))</f>
        <v>0.789849273595918</v>
      </c>
      <c r="Q12" s="1">
        <v>1</v>
      </c>
      <c r="R12" s="1">
        <f>N12</f>
        <v>2.1625</v>
      </c>
      <c r="S12" s="1">
        <f>N21</f>
        <v>0.955625</v>
      </c>
      <c r="T12" s="1">
        <f>N29</f>
        <v>0.9945</v>
      </c>
      <c r="U12" s="1">
        <f>O12</f>
        <v>0.789849273595918</v>
      </c>
      <c r="V12" s="1">
        <f>O21</f>
        <v>0.275827117880627</v>
      </c>
      <c r="W12" s="1">
        <f>O29</f>
        <v>0.163291151015601</v>
      </c>
    </row>
    <row r="13" spans="1:62">
      <c r="A13">
        <v>2</v>
      </c>
      <c r="B13" t="s">
        <v>19</v>
      </c>
      <c r="C13" t="s">
        <v>13</v>
      </c>
      <c r="D13">
        <v>0.6375</v>
      </c>
      <c r="F13" s="3">
        <v>2</v>
      </c>
      <c r="G13">
        <v>1.5025</v>
      </c>
      <c r="H13">
        <v>1.32</v>
      </c>
      <c r="I13">
        <v>3.5075</v>
      </c>
      <c r="J13">
        <v>1.025</v>
      </c>
      <c r="K13">
        <v>5.3175</v>
      </c>
      <c r="M13" s="1">
        <v>2</v>
      </c>
      <c r="N13" s="2">
        <f>AVERAGE(G13:K13)</f>
        <v>2.5345</v>
      </c>
      <c r="O13" s="2">
        <f>(STDEV(G13:K13))/(SQRT(COUNT(G13:K13)))</f>
        <v>0.821901529990059</v>
      </c>
      <c r="Q13" s="1">
        <v>2</v>
      </c>
      <c r="R13" s="1">
        <f>N13</f>
        <v>2.5345</v>
      </c>
      <c r="S13" s="1">
        <f>N22</f>
        <v>1.193125</v>
      </c>
      <c r="T13" s="1">
        <f>N30</f>
        <v>0.8775</v>
      </c>
      <c r="U13" s="1">
        <f>O13</f>
        <v>0.821901529990059</v>
      </c>
      <c r="V13" s="1">
        <f>O22</f>
        <v>0.334687937674784</v>
      </c>
      <c r="W13" s="1">
        <f>O30</f>
        <v>0.153180857159111</v>
      </c>
    </row>
    <row r="14" spans="1:62">
      <c r="A14">
        <v>2</v>
      </c>
      <c r="B14" t="s">
        <v>19</v>
      </c>
      <c r="C14" t="s">
        <v>13</v>
      </c>
      <c r="D14">
        <v>0.585</v>
      </c>
      <c r="F14" s="3">
        <v>3</v>
      </c>
      <c r="G14">
        <v>1.7425</v>
      </c>
      <c r="H14">
        <v>1.82</v>
      </c>
      <c r="I14">
        <v>4.59</v>
      </c>
      <c r="J14">
        <v>1.4025</v>
      </c>
      <c r="K14">
        <v>6.28</v>
      </c>
      <c r="M14" s="1">
        <v>3</v>
      </c>
      <c r="N14" s="2">
        <f>AVERAGE(G14:K14)</f>
        <v>3.167</v>
      </c>
      <c r="O14" s="2">
        <f>(STDEV(G14:K14))/(SQRT(COUNT(G14:K14)))</f>
        <v>0.966249644243143</v>
      </c>
      <c r="Q14" s="1">
        <v>3</v>
      </c>
      <c r="R14" s="1">
        <f>N14</f>
        <v>3.167</v>
      </c>
      <c r="S14" s="1">
        <f>N23</f>
        <v>1.59</v>
      </c>
      <c r="T14" s="1">
        <f>N31</f>
        <v>0.5905</v>
      </c>
      <c r="U14" s="1">
        <f>O14</f>
        <v>0.966249644243143</v>
      </c>
      <c r="V14" s="1">
        <f>O23</f>
        <v>0.468778332477089</v>
      </c>
      <c r="W14" s="1">
        <f>O31</f>
        <v>0.128630770035789</v>
      </c>
    </row>
    <row r="15" spans="1:62">
      <c r="A15">
        <v>2</v>
      </c>
      <c r="B15" t="s">
        <v>19</v>
      </c>
      <c r="C15" t="s">
        <v>13</v>
      </c>
      <c r="D15">
        <v>1.4475</v>
      </c>
    </row>
    <row r="16" spans="1:62">
      <c r="A16">
        <v>2</v>
      </c>
      <c r="B16" t="s">
        <v>19</v>
      </c>
      <c r="C16" t="s">
        <v>13</v>
      </c>
      <c r="D16">
        <v>0.875</v>
      </c>
    </row>
    <row r="17" spans="1:15">
      <c r="A17">
        <v>3</v>
      </c>
      <c r="B17" t="s">
        <v>19</v>
      </c>
      <c r="C17" t="s">
        <v>13</v>
      </c>
      <c r="D17">
        <v>0.5875</v>
      </c>
    </row>
    <row r="18" spans="1:15">
      <c r="A18">
        <v>3</v>
      </c>
      <c r="B18" t="s">
        <v>19</v>
      </c>
      <c r="C18" t="s">
        <v>13</v>
      </c>
      <c r="D18">
        <v>0.4175</v>
      </c>
      <c r="F18" t="s">
        <v>13</v>
      </c>
      <c r="G18" t="s">
        <v>10</v>
      </c>
    </row>
    <row r="19" spans="1:15">
      <c r="A19">
        <v>3</v>
      </c>
      <c r="B19" t="s">
        <v>19</v>
      </c>
      <c r="C19" t="s">
        <v>13</v>
      </c>
      <c r="D19">
        <v>0.395</v>
      </c>
      <c r="M19" s="1" t="s">
        <v>506</v>
      </c>
      <c r="N19" s="2" t="s">
        <v>497</v>
      </c>
      <c r="O19" s="2" t="s">
        <v>498</v>
      </c>
    </row>
    <row r="20" spans="1:15">
      <c r="A20">
        <v>3</v>
      </c>
      <c r="B20" t="s">
        <v>19</v>
      </c>
      <c r="C20" t="s">
        <v>13</v>
      </c>
      <c r="D20">
        <v>1.0875</v>
      </c>
      <c r="F20">
        <v>0</v>
      </c>
      <c r="G20">
        <v>1.0225</v>
      </c>
      <c r="H20">
        <v>0.68</v>
      </c>
      <c r="I20">
        <v>0.115</v>
      </c>
      <c r="J20">
        <v>0.4525</v>
      </c>
      <c r="M20" s="1">
        <v>0</v>
      </c>
      <c r="N20" s="2">
        <f>AVERAGE(G20:K20)</f>
        <v>0.5675</v>
      </c>
      <c r="O20" s="2">
        <f>(STDEV(G20:K20))/(SQRT(COUNT(G20:K20)))</f>
        <v>0.190976111071516</v>
      </c>
    </row>
    <row r="21" spans="1:15">
      <c r="A21">
        <v>3</v>
      </c>
      <c r="B21" t="s">
        <v>19</v>
      </c>
      <c r="C21" t="s">
        <v>13</v>
      </c>
      <c r="D21">
        <v>0.465</v>
      </c>
      <c r="F21">
        <v>1</v>
      </c>
      <c r="G21">
        <v>1.6425</v>
      </c>
      <c r="H21">
        <v>1.0225</v>
      </c>
      <c r="I21">
        <v>0.3025</v>
      </c>
      <c r="J21">
        <v>0.855</v>
      </c>
      <c r="M21" s="1">
        <v>1</v>
      </c>
      <c r="N21" s="2">
        <f>AVERAGE(G21:K21)</f>
        <v>0.955625</v>
      </c>
      <c r="O21" s="2">
        <f>(STDEV(G21:K21))/(SQRT(COUNT(G21:K21)))</f>
        <v>0.275827117880627</v>
      </c>
    </row>
    <row r="22" spans="1:15">
      <c r="A22">
        <v>0</v>
      </c>
      <c r="B22" t="s">
        <v>10</v>
      </c>
      <c r="C22" t="s">
        <v>13</v>
      </c>
      <c r="D22">
        <v>1.0225</v>
      </c>
      <c r="F22">
        <v>2</v>
      </c>
      <c r="G22">
        <v>1.905</v>
      </c>
      <c r="H22">
        <v>1.47</v>
      </c>
      <c r="I22">
        <v>0.33</v>
      </c>
      <c r="J22">
        <v>1.0675</v>
      </c>
      <c r="M22" s="1">
        <v>2</v>
      </c>
      <c r="N22" s="2">
        <f>AVERAGE(G22:K22)</f>
        <v>1.193125</v>
      </c>
      <c r="O22" s="2">
        <f>(STDEV(G22:K22))/(SQRT(COUNT(G22:K22)))</f>
        <v>0.334687937674784</v>
      </c>
    </row>
    <row r="23" spans="1:15">
      <c r="A23">
        <v>0</v>
      </c>
      <c r="B23" t="s">
        <v>10</v>
      </c>
      <c r="C23" t="s">
        <v>13</v>
      </c>
      <c r="D23">
        <v>0.68</v>
      </c>
      <c r="F23">
        <v>3</v>
      </c>
      <c r="G23">
        <v>2.6425</v>
      </c>
      <c r="H23">
        <v>1.93</v>
      </c>
      <c r="I23">
        <v>0.4225</v>
      </c>
      <c r="J23">
        <v>1.365</v>
      </c>
      <c r="M23" s="1">
        <v>3</v>
      </c>
      <c r="N23" s="2">
        <f>AVERAGE(G23:K23)</f>
        <v>1.59</v>
      </c>
      <c r="O23" s="2">
        <f>(STDEV(G23:K23))/(SQRT(COUNT(G23:K23)))</f>
        <v>0.468778332477089</v>
      </c>
    </row>
    <row r="24" spans="1:15">
      <c r="A24">
        <v>0</v>
      </c>
      <c r="B24" t="s">
        <v>10</v>
      </c>
      <c r="C24" t="s">
        <v>13</v>
      </c>
      <c r="D24">
        <v>0.115</v>
      </c>
    </row>
    <row r="25" spans="1:15">
      <c r="A25">
        <v>0</v>
      </c>
      <c r="B25" t="s">
        <v>10</v>
      </c>
      <c r="C25" t="s">
        <v>13</v>
      </c>
      <c r="D25">
        <v>0.4525</v>
      </c>
    </row>
    <row r="26" spans="1:15">
      <c r="A26">
        <v>1</v>
      </c>
      <c r="B26" t="s">
        <v>10</v>
      </c>
      <c r="C26" t="s">
        <v>13</v>
      </c>
      <c r="D26">
        <v>1.6425</v>
      </c>
      <c r="F26" t="s">
        <v>13</v>
      </c>
      <c r="G26" t="s">
        <v>19</v>
      </c>
    </row>
    <row r="27" spans="1:15">
      <c r="A27">
        <v>1</v>
      </c>
      <c r="B27" t="s">
        <v>10</v>
      </c>
      <c r="C27" t="s">
        <v>13</v>
      </c>
      <c r="D27">
        <v>1.0225</v>
      </c>
      <c r="M27" s="1" t="s">
        <v>507</v>
      </c>
      <c r="N27" s="2" t="s">
        <v>497</v>
      </c>
      <c r="O27" s="2" t="s">
        <v>498</v>
      </c>
    </row>
    <row r="28" spans="1:15">
      <c r="A28">
        <v>1</v>
      </c>
      <c r="B28" t="s">
        <v>10</v>
      </c>
      <c r="C28" t="s">
        <v>13</v>
      </c>
      <c r="D28">
        <v>0.3025</v>
      </c>
      <c r="F28" s="1">
        <v>0</v>
      </c>
      <c r="G28" s="3">
        <v>0.875</v>
      </c>
      <c r="H28" s="3">
        <v>0.715</v>
      </c>
      <c r="I28" s="3">
        <v>0.4725</v>
      </c>
      <c r="J28" s="3">
        <v>1.2275</v>
      </c>
      <c r="K28" s="3">
        <v>0.9175</v>
      </c>
      <c r="M28" s="1">
        <v>0</v>
      </c>
      <c r="N28" s="2">
        <f>AVERAGE(G28:K28)</f>
        <v>0.8415</v>
      </c>
      <c r="O28" s="2">
        <f>(STDEV(G28:K28))/(SQRT(COUNT(G28:K28)))</f>
        <v>0.124108319624431</v>
      </c>
    </row>
    <row r="29" spans="1:15">
      <c r="A29">
        <v>1</v>
      </c>
      <c r="B29" t="s">
        <v>10</v>
      </c>
      <c r="C29" t="s">
        <v>13</v>
      </c>
      <c r="D29">
        <v>0.855</v>
      </c>
      <c r="F29" s="1">
        <v>1</v>
      </c>
      <c r="G29" s="3">
        <v>1.065</v>
      </c>
      <c r="H29" s="3">
        <v>0.73</v>
      </c>
      <c r="I29" s="3">
        <v>0.615</v>
      </c>
      <c r="J29" s="3">
        <v>1.555</v>
      </c>
      <c r="K29" s="3">
        <v>1.0075</v>
      </c>
      <c r="M29" s="1">
        <v>1</v>
      </c>
      <c r="N29" s="2">
        <f>AVERAGE(G29:K29)</f>
        <v>0.9945</v>
      </c>
      <c r="O29" s="2">
        <f>(STDEV(G29:K29))/(SQRT(COUNT(G29:K29)))</f>
        <v>0.163291151015601</v>
      </c>
    </row>
    <row r="30" spans="1:15">
      <c r="A30">
        <v>2</v>
      </c>
      <c r="B30" t="s">
        <v>10</v>
      </c>
      <c r="C30" t="s">
        <v>13</v>
      </c>
      <c r="D30">
        <v>1.905</v>
      </c>
      <c r="F30" s="1">
        <v>2</v>
      </c>
      <c r="G30" s="3">
        <v>0.8425</v>
      </c>
      <c r="H30" s="3">
        <v>0.6375</v>
      </c>
      <c r="I30" s="3">
        <v>0.585</v>
      </c>
      <c r="J30" s="3">
        <v>1.4475</v>
      </c>
      <c r="K30" s="3">
        <v>0.875</v>
      </c>
      <c r="M30" s="1">
        <v>2</v>
      </c>
      <c r="N30" s="2">
        <f>AVERAGE(G30:K30)</f>
        <v>0.8775</v>
      </c>
      <c r="O30" s="2">
        <f>(STDEV(G30:K30))/(SQRT(COUNT(G30:K30)))</f>
        <v>0.153180857159111</v>
      </c>
    </row>
    <row r="31" spans="1:15">
      <c r="A31">
        <v>2</v>
      </c>
      <c r="B31" t="s">
        <v>10</v>
      </c>
      <c r="C31" t="s">
        <v>13</v>
      </c>
      <c r="D31">
        <v>1.47</v>
      </c>
      <c r="F31" s="1">
        <v>3</v>
      </c>
      <c r="G31" s="3">
        <v>0.5875</v>
      </c>
      <c r="H31" s="3">
        <v>0.4175</v>
      </c>
      <c r="I31" s="3">
        <v>0.395</v>
      </c>
      <c r="J31" s="3">
        <v>1.0875</v>
      </c>
      <c r="K31" s="3">
        <v>0.465</v>
      </c>
      <c r="M31" s="1">
        <v>3</v>
      </c>
      <c r="N31" s="2">
        <f>AVERAGE(G31:K31)</f>
        <v>0.5905</v>
      </c>
      <c r="O31" s="2">
        <f>(STDEV(G31:K31))/(SQRT(COUNT(G31:K31)))</f>
        <v>0.128630770035789</v>
      </c>
    </row>
    <row r="32" spans="1:15">
      <c r="A32">
        <v>2</v>
      </c>
      <c r="B32" t="s">
        <v>10</v>
      </c>
      <c r="C32" t="s">
        <v>13</v>
      </c>
      <c r="D32">
        <v>0.33</v>
      </c>
      <c r="F32" s="1"/>
    </row>
    <row r="33" spans="1:4">
      <c r="A33">
        <v>2</v>
      </c>
      <c r="B33" t="s">
        <v>10</v>
      </c>
      <c r="C33" t="s">
        <v>13</v>
      </c>
      <c r="D33">
        <v>1.0675</v>
      </c>
    </row>
    <row r="34" spans="1:4">
      <c r="A34">
        <v>3</v>
      </c>
      <c r="B34" t="s">
        <v>10</v>
      </c>
      <c r="C34" t="s">
        <v>13</v>
      </c>
      <c r="D34">
        <v>2.6425</v>
      </c>
    </row>
    <row r="35" spans="1:4">
      <c r="A35">
        <v>3</v>
      </c>
      <c r="B35" t="s">
        <v>10</v>
      </c>
      <c r="C35" t="s">
        <v>13</v>
      </c>
      <c r="D35">
        <v>1.93</v>
      </c>
    </row>
    <row r="36" spans="1:4">
      <c r="A36">
        <v>3</v>
      </c>
      <c r="B36" t="s">
        <v>10</v>
      </c>
      <c r="C36" t="s">
        <v>13</v>
      </c>
      <c r="D36">
        <v>0.4225</v>
      </c>
    </row>
    <row r="37" spans="1:4">
      <c r="A37">
        <v>3</v>
      </c>
      <c r="B37" t="s">
        <v>10</v>
      </c>
      <c r="C37" t="s">
        <v>13</v>
      </c>
      <c r="D37">
        <v>1.365</v>
      </c>
    </row>
    <row r="38" spans="1:4">
      <c r="A38">
        <v>0</v>
      </c>
      <c r="B38" t="s">
        <v>9</v>
      </c>
      <c r="C38" t="s">
        <v>13</v>
      </c>
      <c r="D38">
        <v>0.1775</v>
      </c>
    </row>
    <row r="39" spans="1:4">
      <c r="A39">
        <v>0</v>
      </c>
      <c r="B39" t="s">
        <v>9</v>
      </c>
      <c r="C39" t="s">
        <v>13</v>
      </c>
      <c r="D39">
        <v>0.4275</v>
      </c>
    </row>
    <row r="40" spans="1:4">
      <c r="A40">
        <v>0</v>
      </c>
      <c r="B40" t="s">
        <v>9</v>
      </c>
      <c r="C40" t="s">
        <v>13</v>
      </c>
      <c r="D40">
        <v>1.735</v>
      </c>
    </row>
    <row r="41" spans="1:4">
      <c r="A41">
        <v>0</v>
      </c>
      <c r="B41" t="s">
        <v>9</v>
      </c>
      <c r="C41" t="s">
        <v>13</v>
      </c>
      <c r="D41">
        <v>0.35</v>
      </c>
    </row>
    <row r="42" spans="1:4">
      <c r="A42">
        <v>0</v>
      </c>
      <c r="B42" t="s">
        <v>9</v>
      </c>
      <c r="C42" t="s">
        <v>13</v>
      </c>
      <c r="D42">
        <v>2.6325</v>
      </c>
    </row>
    <row r="43" spans="1:4">
      <c r="A43">
        <v>1</v>
      </c>
      <c r="B43" t="s">
        <v>9</v>
      </c>
      <c r="C43" t="s">
        <v>13</v>
      </c>
      <c r="D43">
        <v>0.38</v>
      </c>
    </row>
    <row r="44" spans="1:4">
      <c r="A44">
        <v>1</v>
      </c>
      <c r="B44" t="s">
        <v>9</v>
      </c>
      <c r="C44" t="s">
        <v>13</v>
      </c>
      <c r="D44">
        <v>0.8975</v>
      </c>
    </row>
    <row r="45" spans="1:4">
      <c r="A45">
        <v>1</v>
      </c>
      <c r="B45" t="s">
        <v>9</v>
      </c>
      <c r="C45" t="s">
        <v>13</v>
      </c>
      <c r="D45">
        <v>2.9475</v>
      </c>
    </row>
    <row r="46" spans="1:4">
      <c r="A46">
        <v>1</v>
      </c>
      <c r="B46" t="s">
        <v>9</v>
      </c>
      <c r="C46" t="s">
        <v>13</v>
      </c>
      <c r="D46">
        <v>0.69</v>
      </c>
    </row>
    <row r="47" spans="1:4">
      <c r="A47">
        <v>1</v>
      </c>
      <c r="B47" t="s">
        <v>9</v>
      </c>
      <c r="C47" t="s">
        <v>13</v>
      </c>
      <c r="D47">
        <v>4.8975</v>
      </c>
    </row>
    <row r="48" spans="1:4">
      <c r="A48">
        <v>2</v>
      </c>
      <c r="B48" t="s">
        <v>9</v>
      </c>
      <c r="C48" t="s">
        <v>13</v>
      </c>
      <c r="D48">
        <v>0.5025</v>
      </c>
    </row>
    <row r="49" spans="1:4">
      <c r="A49">
        <v>2</v>
      </c>
      <c r="B49" t="s">
        <v>9</v>
      </c>
      <c r="C49" t="s">
        <v>13</v>
      </c>
      <c r="D49">
        <v>1.32</v>
      </c>
    </row>
    <row r="50" spans="1:4">
      <c r="A50">
        <v>2</v>
      </c>
      <c r="B50" t="s">
        <v>9</v>
      </c>
      <c r="C50" t="s">
        <v>13</v>
      </c>
      <c r="D50">
        <v>3.5075</v>
      </c>
    </row>
    <row r="51" spans="1:4">
      <c r="A51">
        <v>2</v>
      </c>
      <c r="B51" t="s">
        <v>9</v>
      </c>
      <c r="C51" t="s">
        <v>13</v>
      </c>
      <c r="D51">
        <v>1.025</v>
      </c>
    </row>
    <row r="52" spans="1:4">
      <c r="A52">
        <v>2</v>
      </c>
      <c r="B52" t="s">
        <v>9</v>
      </c>
      <c r="C52" t="s">
        <v>13</v>
      </c>
      <c r="D52">
        <v>5.3175</v>
      </c>
    </row>
    <row r="53" spans="1:4">
      <c r="A53">
        <v>3</v>
      </c>
      <c r="B53" t="s">
        <v>9</v>
      </c>
      <c r="C53" t="s">
        <v>13</v>
      </c>
      <c r="D53">
        <v>0.7425</v>
      </c>
    </row>
    <row r="54" spans="1:4">
      <c r="A54">
        <v>3</v>
      </c>
      <c r="B54" t="s">
        <v>9</v>
      </c>
      <c r="C54" t="s">
        <v>13</v>
      </c>
      <c r="D54">
        <v>1.82</v>
      </c>
    </row>
    <row r="55" spans="1:4">
      <c r="A55">
        <v>3</v>
      </c>
      <c r="B55" t="s">
        <v>9</v>
      </c>
      <c r="C55" t="s">
        <v>13</v>
      </c>
      <c r="D55">
        <v>4.59</v>
      </c>
    </row>
    <row r="56" spans="1:4">
      <c r="A56">
        <v>3</v>
      </c>
      <c r="B56" t="s">
        <v>9</v>
      </c>
      <c r="C56" t="s">
        <v>13</v>
      </c>
      <c r="D56">
        <v>1.4025</v>
      </c>
    </row>
    <row r="57" spans="1:4">
      <c r="A57">
        <v>3</v>
      </c>
      <c r="B57" t="s">
        <v>9</v>
      </c>
      <c r="C57" t="s">
        <v>13</v>
      </c>
      <c r="D57">
        <v>6.28</v>
      </c>
    </row>
  </sheetData>
  <sortState ref="A2:D57">
    <sortCondition descending="1"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F3" workbookViewId="0">
      <selection pane="topLeft" activeCell="U33" sqref="U33"/>
    </sheetView>
  </sheetViews>
  <sheetFormatPr baseColWidth="10" defaultRowHeight="15"/>
  <sheetData>
    <row r="1" spans="1:67">
      <c r="A1" s="1" t="s">
        <v>2</v>
      </c>
      <c r="B1" s="1" t="s">
        <v>3</v>
      </c>
      <c r="C1" s="1" t="s">
        <v>1</v>
      </c>
      <c r="D1" s="1" t="s">
        <v>6</v>
      </c>
      <c r="G1" s="1" t="s">
        <v>2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2</v>
      </c>
      <c r="S1">
        <v>2</v>
      </c>
      <c r="T1">
        <v>2</v>
      </c>
      <c r="U1">
        <v>2</v>
      </c>
      <c r="V1">
        <v>2</v>
      </c>
      <c r="W1">
        <v>3</v>
      </c>
      <c r="X1">
        <v>3</v>
      </c>
      <c r="Y1">
        <v>3</v>
      </c>
      <c r="Z1">
        <v>3</v>
      </c>
      <c r="AA1">
        <v>3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1</v>
      </c>
      <c r="AI1">
        <v>1</v>
      </c>
      <c r="AJ1">
        <v>1</v>
      </c>
      <c r="AK1">
        <v>1</v>
      </c>
      <c r="AL1">
        <v>2</v>
      </c>
      <c r="AM1">
        <v>2</v>
      </c>
      <c r="AN1">
        <v>2</v>
      </c>
      <c r="AO1">
        <v>2</v>
      </c>
      <c r="AP1">
        <v>2</v>
      </c>
      <c r="AQ1">
        <v>3</v>
      </c>
      <c r="AR1">
        <v>3</v>
      </c>
      <c r="AS1">
        <v>3</v>
      </c>
      <c r="AT1">
        <v>3</v>
      </c>
      <c r="AU1">
        <v>3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1</v>
      </c>
      <c r="BD1">
        <v>1</v>
      </c>
      <c r="BE1">
        <v>1</v>
      </c>
      <c r="BF1">
        <v>2</v>
      </c>
      <c r="BG1">
        <v>2</v>
      </c>
      <c r="BH1">
        <v>2</v>
      </c>
      <c r="BI1">
        <v>2</v>
      </c>
      <c r="BJ1">
        <v>2</v>
      </c>
      <c r="BK1">
        <v>3</v>
      </c>
      <c r="BL1">
        <v>3</v>
      </c>
      <c r="BM1">
        <v>3</v>
      </c>
      <c r="BN1">
        <v>3</v>
      </c>
      <c r="BO1">
        <v>3</v>
      </c>
    </row>
    <row r="2" spans="1:67">
      <c r="A2">
        <v>0</v>
      </c>
      <c r="B2" t="s">
        <v>9</v>
      </c>
      <c r="C2" t="s">
        <v>35</v>
      </c>
      <c r="D2">
        <v>1.105</v>
      </c>
      <c r="G2" s="1" t="s">
        <v>3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19</v>
      </c>
      <c r="AW2" t="s">
        <v>19</v>
      </c>
      <c r="AX2" t="s">
        <v>19</v>
      </c>
      <c r="AY2" t="s">
        <v>19</v>
      </c>
      <c r="AZ2" t="s">
        <v>19</v>
      </c>
      <c r="BA2" t="s">
        <v>19</v>
      </c>
      <c r="BB2" t="s">
        <v>19</v>
      </c>
      <c r="BC2" t="s">
        <v>19</v>
      </c>
      <c r="BD2" t="s">
        <v>19</v>
      </c>
      <c r="BE2" t="s">
        <v>19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</row>
    <row r="3" spans="1:67">
      <c r="A3">
        <v>0</v>
      </c>
      <c r="B3" t="s">
        <v>9</v>
      </c>
      <c r="C3" t="s">
        <v>35</v>
      </c>
      <c r="D3">
        <v>1.8425</v>
      </c>
      <c r="G3" s="1" t="s">
        <v>1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  <c r="AK3" t="s">
        <v>35</v>
      </c>
      <c r="AL3" t="s">
        <v>35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 t="s">
        <v>35</v>
      </c>
      <c r="BB3" t="s">
        <v>35</v>
      </c>
      <c r="BC3" t="s">
        <v>35</v>
      </c>
      <c r="BD3" t="s">
        <v>35</v>
      </c>
      <c r="BE3" t="s">
        <v>35</v>
      </c>
      <c r="BF3" t="s">
        <v>35</v>
      </c>
      <c r="BG3" t="s">
        <v>35</v>
      </c>
      <c r="BH3" t="s">
        <v>35</v>
      </c>
      <c r="BI3" t="s">
        <v>35</v>
      </c>
      <c r="BJ3" t="s">
        <v>35</v>
      </c>
      <c r="BK3" t="s">
        <v>35</v>
      </c>
      <c r="BL3" t="s">
        <v>35</v>
      </c>
      <c r="BM3" t="s">
        <v>35</v>
      </c>
      <c r="BN3" t="s">
        <v>35</v>
      </c>
      <c r="BO3" t="s">
        <v>35</v>
      </c>
    </row>
    <row r="4" spans="1:67">
      <c r="A4">
        <v>0</v>
      </c>
      <c r="B4" t="s">
        <v>9</v>
      </c>
      <c r="C4" t="s">
        <v>35</v>
      </c>
      <c r="D4">
        <v>0.36</v>
      </c>
      <c r="G4" s="1" t="s">
        <v>6</v>
      </c>
      <c r="H4">
        <v>1.105</v>
      </c>
      <c r="I4">
        <v>1.8425</v>
      </c>
      <c r="J4">
        <v>0.36</v>
      </c>
      <c r="K4">
        <v>0.9125</v>
      </c>
      <c r="L4">
        <v>0.3875</v>
      </c>
      <c r="M4">
        <v>1.8475</v>
      </c>
      <c r="N4">
        <v>3.13</v>
      </c>
      <c r="O4">
        <v>0.7725</v>
      </c>
      <c r="P4">
        <v>1.5275</v>
      </c>
      <c r="Q4">
        <v>0.65</v>
      </c>
      <c r="R4">
        <v>2.46</v>
      </c>
      <c r="S4">
        <v>4.2575</v>
      </c>
      <c r="T4">
        <v>0.9675</v>
      </c>
      <c r="U4">
        <v>2.1425</v>
      </c>
      <c r="V4">
        <v>0.8275</v>
      </c>
      <c r="W4">
        <v>3</v>
      </c>
      <c r="X4">
        <v>4.85</v>
      </c>
      <c r="Y4">
        <v>1.4425</v>
      </c>
      <c r="Z4">
        <v>2.9875</v>
      </c>
      <c r="AA4">
        <v>1.2925</v>
      </c>
      <c r="AB4">
        <v>0.685</v>
      </c>
      <c r="AC4">
        <v>0.76</v>
      </c>
      <c r="AD4">
        <v>0.475</v>
      </c>
      <c r="AE4">
        <v>0.8725</v>
      </c>
      <c r="AF4">
        <v>0.74</v>
      </c>
      <c r="AG4">
        <v>0.94</v>
      </c>
      <c r="AH4">
        <v>1.215</v>
      </c>
      <c r="AI4">
        <v>0.4975</v>
      </c>
      <c r="AJ4">
        <v>1.3625</v>
      </c>
      <c r="AK4">
        <v>1.155</v>
      </c>
      <c r="AL4">
        <v>0.97</v>
      </c>
      <c r="AM4">
        <v>1.3175</v>
      </c>
      <c r="AN4">
        <v>0.8275</v>
      </c>
      <c r="AO4">
        <v>1.605</v>
      </c>
      <c r="AP4">
        <v>1.3675</v>
      </c>
      <c r="AQ4">
        <v>1.185</v>
      </c>
      <c r="AR4">
        <v>1.3375</v>
      </c>
      <c r="AS4">
        <v>1.1625</v>
      </c>
      <c r="AT4">
        <v>1.6125</v>
      </c>
      <c r="AU4">
        <v>1.8</v>
      </c>
      <c r="AV4">
        <v>0.5175</v>
      </c>
      <c r="AW4">
        <v>0.815</v>
      </c>
      <c r="AX4">
        <v>0.95</v>
      </c>
      <c r="AY4">
        <v>0.6825</v>
      </c>
      <c r="AZ4">
        <v>0.645</v>
      </c>
      <c r="BA4">
        <v>0.61</v>
      </c>
      <c r="BB4">
        <v>1.0075</v>
      </c>
      <c r="BC4">
        <v>1.0925</v>
      </c>
      <c r="BD4">
        <v>0.9125</v>
      </c>
      <c r="BE4">
        <v>0.815</v>
      </c>
      <c r="BF4">
        <v>0.5025</v>
      </c>
      <c r="BG4">
        <v>0.7775</v>
      </c>
      <c r="BH4">
        <v>1.0775</v>
      </c>
      <c r="BI4">
        <v>0.8725</v>
      </c>
      <c r="BJ4">
        <v>0.735</v>
      </c>
      <c r="BK4">
        <v>0.36</v>
      </c>
      <c r="BL4">
        <v>0.6025</v>
      </c>
      <c r="BM4">
        <v>0.8025</v>
      </c>
      <c r="BN4">
        <v>0.81</v>
      </c>
      <c r="BO4">
        <v>0.5275</v>
      </c>
    </row>
    <row r="5" spans="1:67">
      <c r="A5">
        <v>0</v>
      </c>
      <c r="B5" t="s">
        <v>9</v>
      </c>
      <c r="C5" t="s">
        <v>35</v>
      </c>
      <c r="D5">
        <v>0.9125</v>
      </c>
    </row>
    <row r="6" spans="1:67">
      <c r="A6">
        <v>0</v>
      </c>
      <c r="B6" t="s">
        <v>9</v>
      </c>
      <c r="C6" t="s">
        <v>35</v>
      </c>
      <c r="D6">
        <v>0.3875</v>
      </c>
    </row>
    <row r="7" spans="1:67">
      <c r="A7">
        <v>1</v>
      </c>
      <c r="B7" t="s">
        <v>9</v>
      </c>
      <c r="C7" t="s">
        <v>35</v>
      </c>
      <c r="D7">
        <v>1.8475</v>
      </c>
    </row>
    <row r="8" spans="1:67">
      <c r="A8">
        <v>1</v>
      </c>
      <c r="B8" t="s">
        <v>9</v>
      </c>
      <c r="C8" t="s">
        <v>35</v>
      </c>
      <c r="D8">
        <v>3.13</v>
      </c>
    </row>
    <row r="9" spans="1:67">
      <c r="A9">
        <v>1</v>
      </c>
      <c r="B9" t="s">
        <v>9</v>
      </c>
      <c r="C9" t="s">
        <v>35</v>
      </c>
      <c r="D9">
        <v>0.7725</v>
      </c>
      <c r="G9" t="s">
        <v>35</v>
      </c>
      <c r="H9" t="s">
        <v>9</v>
      </c>
      <c r="R9" s="1"/>
      <c r="S9" s="1"/>
      <c r="T9" s="1"/>
      <c r="U9" s="1"/>
      <c r="V9" s="1" t="s">
        <v>498</v>
      </c>
      <c r="W9" s="1" t="s">
        <v>498</v>
      </c>
      <c r="X9" s="1" t="s">
        <v>498</v>
      </c>
    </row>
    <row r="10" spans="1:67">
      <c r="A10">
        <v>1</v>
      </c>
      <c r="B10" t="s">
        <v>9</v>
      </c>
      <c r="C10" t="s">
        <v>35</v>
      </c>
      <c r="D10">
        <v>1.5275</v>
      </c>
      <c r="O10" s="2" t="s">
        <v>497</v>
      </c>
      <c r="P10" s="2" t="s">
        <v>498</v>
      </c>
      <c r="R10" s="1" t="s">
        <v>514</v>
      </c>
      <c r="S10" s="1" t="s">
        <v>522</v>
      </c>
      <c r="T10" s="1" t="s">
        <v>523</v>
      </c>
      <c r="U10" s="1" t="s">
        <v>524</v>
      </c>
      <c r="V10" s="1" t="s">
        <v>505</v>
      </c>
      <c r="W10" s="1" t="s">
        <v>506</v>
      </c>
      <c r="X10" s="1" t="s">
        <v>507</v>
      </c>
    </row>
    <row r="11" spans="1:67">
      <c r="A11">
        <v>1</v>
      </c>
      <c r="B11" t="s">
        <v>9</v>
      </c>
      <c r="C11" t="s">
        <v>35</v>
      </c>
      <c r="D11">
        <v>0.65</v>
      </c>
      <c r="G11" s="1">
        <v>0</v>
      </c>
      <c r="H11">
        <v>1.105</v>
      </c>
      <c r="I11">
        <v>1.8425</v>
      </c>
      <c r="J11">
        <v>0.36</v>
      </c>
      <c r="K11">
        <v>0.9125</v>
      </c>
      <c r="L11">
        <v>0.3875</v>
      </c>
      <c r="N11" s="1">
        <v>0</v>
      </c>
      <c r="O11" s="2">
        <f>AVERAGE(H11:L11)</f>
        <v>0.9215</v>
      </c>
      <c r="P11" s="2">
        <f>(STDEV(H11:L11))/(SQRT(COUNT(H11:L11)))</f>
        <v>0.272252869590019</v>
      </c>
      <c r="R11" s="1">
        <v>0</v>
      </c>
      <c r="S11" s="1">
        <f>O11</f>
        <v>0.9215</v>
      </c>
      <c r="T11" s="1">
        <f>O21</f>
        <v>0.7065</v>
      </c>
      <c r="U11" s="1">
        <f>O31</f>
        <v>0.722</v>
      </c>
      <c r="V11" s="1">
        <f>P11</f>
        <v>0.272252869590019</v>
      </c>
      <c r="W11" s="1">
        <f>P21</f>
        <v>0.0654197982265308</v>
      </c>
      <c r="X11" s="1">
        <f>P31</f>
        <v>0.0741425990912107</v>
      </c>
    </row>
    <row r="12" spans="1:67">
      <c r="A12">
        <v>2</v>
      </c>
      <c r="B12" t="s">
        <v>9</v>
      </c>
      <c r="C12" t="s">
        <v>35</v>
      </c>
      <c r="D12">
        <v>2.46</v>
      </c>
      <c r="G12" s="1">
        <v>1</v>
      </c>
      <c r="H12">
        <v>1.8475</v>
      </c>
      <c r="I12">
        <v>3.13</v>
      </c>
      <c r="J12">
        <v>0.7725</v>
      </c>
      <c r="K12">
        <v>1.5275</v>
      </c>
      <c r="L12">
        <v>0.65</v>
      </c>
      <c r="N12" s="1">
        <v>1</v>
      </c>
      <c r="O12" s="2">
        <f>AVERAGE(H12:L12)</f>
        <v>1.5855</v>
      </c>
      <c r="P12" s="2">
        <f>(STDEV(H12:L12))/(SQRT(COUNT(H12:L12)))</f>
        <v>0.446856660462838</v>
      </c>
      <c r="R12" s="1">
        <v>1</v>
      </c>
      <c r="S12" s="1">
        <f>O12</f>
        <v>1.5855</v>
      </c>
      <c r="T12" s="1">
        <f>O22</f>
        <v>1.034</v>
      </c>
      <c r="U12" s="1">
        <f>O32</f>
        <v>0.8875</v>
      </c>
      <c r="V12" s="1">
        <f>P12</f>
        <v>0.446856660462838</v>
      </c>
      <c r="W12" s="1">
        <f>P22</f>
        <v>0.15033005354885</v>
      </c>
      <c r="X12" s="1">
        <f>P32</f>
        <v>0.083460319913118</v>
      </c>
    </row>
    <row r="13" spans="1:67">
      <c r="A13">
        <v>2</v>
      </c>
      <c r="B13" t="s">
        <v>9</v>
      </c>
      <c r="C13" t="s">
        <v>35</v>
      </c>
      <c r="D13">
        <v>4.2575</v>
      </c>
      <c r="G13" s="1">
        <v>2</v>
      </c>
      <c r="H13">
        <v>2.46</v>
      </c>
      <c r="I13">
        <v>4.2575</v>
      </c>
      <c r="J13">
        <v>0.9675</v>
      </c>
      <c r="K13">
        <v>2.1425</v>
      </c>
      <c r="L13">
        <v>0.8275</v>
      </c>
      <c r="N13" s="1">
        <v>2</v>
      </c>
      <c r="O13" s="2">
        <f>AVERAGE(H13:L13)</f>
        <v>2.131</v>
      </c>
      <c r="P13" s="2">
        <f>(STDEV(H13:L13))/(SQRT(COUNT(H13:L13)))</f>
        <v>0.619807228095962</v>
      </c>
      <c r="R13" s="1">
        <v>2</v>
      </c>
      <c r="S13" s="1">
        <f>O13</f>
        <v>2.131</v>
      </c>
      <c r="T13" s="1">
        <f>O23</f>
        <v>1.2175</v>
      </c>
      <c r="U13" s="1">
        <f>O33</f>
        <v>0.793</v>
      </c>
      <c r="V13" s="1">
        <f>P13</f>
        <v>0.619807228095962</v>
      </c>
      <c r="W13" s="1">
        <f>P23</f>
        <v>0.140714693617973</v>
      </c>
      <c r="X13" s="1">
        <f>P33</f>
        <v>0.0936095614774474</v>
      </c>
    </row>
    <row r="14" spans="1:67">
      <c r="A14">
        <v>2</v>
      </c>
      <c r="B14" t="s">
        <v>9</v>
      </c>
      <c r="C14" t="s">
        <v>35</v>
      </c>
      <c r="D14">
        <v>0.9675</v>
      </c>
      <c r="G14" s="1">
        <v>3</v>
      </c>
      <c r="H14">
        <v>3</v>
      </c>
      <c r="I14">
        <v>4.85</v>
      </c>
      <c r="J14">
        <v>1.4425</v>
      </c>
      <c r="K14">
        <v>2.9875</v>
      </c>
      <c r="L14">
        <v>1.2925</v>
      </c>
      <c r="N14" s="1">
        <v>3</v>
      </c>
      <c r="O14" s="2">
        <f>AVERAGE(H14:L14)</f>
        <v>2.7145</v>
      </c>
      <c r="P14" s="2">
        <f>(STDEV(H14:L14))/(SQRT(COUNT(H14:L14)))</f>
        <v>0.646392585817628</v>
      </c>
      <c r="R14" s="1">
        <v>3</v>
      </c>
      <c r="S14" s="1">
        <f>O14</f>
        <v>2.7145</v>
      </c>
      <c r="T14" s="1">
        <f>O24</f>
        <v>1.4195</v>
      </c>
      <c r="U14" s="1">
        <f>O34</f>
        <v>0.6205</v>
      </c>
      <c r="V14" s="1">
        <f>P14</f>
        <v>0.646392585817628</v>
      </c>
      <c r="W14" s="1">
        <f>P24</f>
        <v>0.124457322002364</v>
      </c>
      <c r="X14" s="1">
        <f>P34</f>
        <v>0.0854012587729244</v>
      </c>
    </row>
    <row r="15" spans="1:67">
      <c r="A15">
        <v>2</v>
      </c>
      <c r="B15" t="s">
        <v>9</v>
      </c>
      <c r="C15" t="s">
        <v>35</v>
      </c>
      <c r="D15">
        <v>2.1425</v>
      </c>
    </row>
    <row r="16" spans="1:67">
      <c r="A16">
        <v>2</v>
      </c>
      <c r="B16" t="s">
        <v>9</v>
      </c>
      <c r="C16" t="s">
        <v>35</v>
      </c>
      <c r="D16">
        <v>0.8275</v>
      </c>
    </row>
    <row r="17" spans="1:16">
      <c r="A17">
        <v>3</v>
      </c>
      <c r="B17" t="s">
        <v>9</v>
      </c>
      <c r="C17" t="s">
        <v>35</v>
      </c>
      <c r="D17">
        <v>3</v>
      </c>
    </row>
    <row r="18" spans="1:16">
      <c r="A18">
        <v>3</v>
      </c>
      <c r="B18" t="s">
        <v>9</v>
      </c>
      <c r="C18" t="s">
        <v>35</v>
      </c>
      <c r="D18">
        <v>4.85</v>
      </c>
    </row>
    <row r="19" spans="1:16">
      <c r="A19">
        <v>3</v>
      </c>
      <c r="B19" t="s">
        <v>9</v>
      </c>
      <c r="C19" t="s">
        <v>35</v>
      </c>
      <c r="D19">
        <v>1.4425</v>
      </c>
      <c r="G19" t="s">
        <v>35</v>
      </c>
      <c r="H19" t="s">
        <v>10</v>
      </c>
    </row>
    <row r="20" spans="1:16">
      <c r="A20">
        <v>3</v>
      </c>
      <c r="B20" t="s">
        <v>9</v>
      </c>
      <c r="C20" t="s">
        <v>35</v>
      </c>
      <c r="D20">
        <v>2.9875</v>
      </c>
      <c r="O20" s="2" t="s">
        <v>497</v>
      </c>
      <c r="P20" s="2" t="s">
        <v>498</v>
      </c>
    </row>
    <row r="21" spans="1:16">
      <c r="A21">
        <v>3</v>
      </c>
      <c r="B21" t="s">
        <v>9</v>
      </c>
      <c r="C21" t="s">
        <v>35</v>
      </c>
      <c r="D21">
        <v>1.2925</v>
      </c>
      <c r="G21" s="1">
        <v>0</v>
      </c>
      <c r="H21">
        <v>0.685</v>
      </c>
      <c r="I21">
        <v>0.76</v>
      </c>
      <c r="J21">
        <v>0.475</v>
      </c>
      <c r="K21">
        <v>0.8725</v>
      </c>
      <c r="L21">
        <v>0.74</v>
      </c>
      <c r="N21" s="1">
        <v>0</v>
      </c>
      <c r="O21" s="2">
        <f>AVERAGE(H21:L21)</f>
        <v>0.7065</v>
      </c>
      <c r="P21" s="2">
        <f>(STDEV(H21:L21))/(SQRT(COUNT(H21:L21)))</f>
        <v>0.0654197982265308</v>
      </c>
    </row>
    <row r="22" spans="1:16">
      <c r="A22">
        <v>0</v>
      </c>
      <c r="B22" t="s">
        <v>10</v>
      </c>
      <c r="C22" t="s">
        <v>35</v>
      </c>
      <c r="D22">
        <v>0.685</v>
      </c>
      <c r="G22" s="1">
        <v>1</v>
      </c>
      <c r="H22">
        <v>0.94</v>
      </c>
      <c r="I22">
        <v>1.215</v>
      </c>
      <c r="J22">
        <v>0.4975</v>
      </c>
      <c r="K22">
        <v>1.3625</v>
      </c>
      <c r="L22">
        <v>1.155</v>
      </c>
      <c r="N22" s="1">
        <v>1</v>
      </c>
      <c r="O22" s="2">
        <f>AVERAGE(H22:L22)</f>
        <v>1.034</v>
      </c>
      <c r="P22" s="2">
        <f>(STDEV(H22:L22))/(SQRT(COUNT(H22:L22)))</f>
        <v>0.15033005354885</v>
      </c>
    </row>
    <row r="23" spans="1:16">
      <c r="A23">
        <v>0</v>
      </c>
      <c r="B23" t="s">
        <v>10</v>
      </c>
      <c r="C23" t="s">
        <v>35</v>
      </c>
      <c r="D23">
        <v>0.76</v>
      </c>
      <c r="G23" s="1">
        <v>2</v>
      </c>
      <c r="H23">
        <v>0.97</v>
      </c>
      <c r="I23">
        <v>1.3175</v>
      </c>
      <c r="J23">
        <v>0.8275</v>
      </c>
      <c r="K23">
        <v>1.605</v>
      </c>
      <c r="L23">
        <v>1.3675</v>
      </c>
      <c r="N23" s="1">
        <v>2</v>
      </c>
      <c r="O23" s="2">
        <f>AVERAGE(H23:L23)</f>
        <v>1.2175</v>
      </c>
      <c r="P23" s="2">
        <f>(STDEV(H23:L23))/(SQRT(COUNT(H23:L23)))</f>
        <v>0.140714693617973</v>
      </c>
    </row>
    <row r="24" spans="1:16">
      <c r="A24">
        <v>0</v>
      </c>
      <c r="B24" t="s">
        <v>10</v>
      </c>
      <c r="C24" t="s">
        <v>35</v>
      </c>
      <c r="D24">
        <v>0.475</v>
      </c>
      <c r="G24" s="1">
        <v>3</v>
      </c>
      <c r="H24">
        <v>1.185</v>
      </c>
      <c r="I24">
        <v>1.3375</v>
      </c>
      <c r="J24">
        <v>1.1625</v>
      </c>
      <c r="K24">
        <v>1.6125</v>
      </c>
      <c r="L24">
        <v>1.8</v>
      </c>
      <c r="N24" s="1">
        <v>3</v>
      </c>
      <c r="O24" s="2">
        <f>AVERAGE(H24:L24)</f>
        <v>1.4195</v>
      </c>
      <c r="P24" s="2">
        <f>(STDEV(H24:L24))/(SQRT(COUNT(H24:L24)))</f>
        <v>0.124457322002364</v>
      </c>
    </row>
    <row r="25" spans="1:16">
      <c r="A25">
        <v>0</v>
      </c>
      <c r="B25" t="s">
        <v>10</v>
      </c>
      <c r="C25" t="s">
        <v>35</v>
      </c>
      <c r="D25">
        <v>0.8725</v>
      </c>
    </row>
    <row r="26" spans="1:16">
      <c r="A26">
        <v>0</v>
      </c>
      <c r="B26" t="s">
        <v>10</v>
      </c>
      <c r="C26" t="s">
        <v>35</v>
      </c>
      <c r="D26">
        <v>0.74</v>
      </c>
    </row>
    <row r="27" spans="1:16">
      <c r="A27">
        <v>1</v>
      </c>
      <c r="B27" t="s">
        <v>10</v>
      </c>
      <c r="C27" t="s">
        <v>35</v>
      </c>
      <c r="D27">
        <v>0.94</v>
      </c>
    </row>
    <row r="28" spans="1:16">
      <c r="A28">
        <v>1</v>
      </c>
      <c r="B28" t="s">
        <v>10</v>
      </c>
      <c r="C28" t="s">
        <v>35</v>
      </c>
      <c r="D28">
        <v>1.215</v>
      </c>
    </row>
    <row r="29" spans="1:16">
      <c r="A29">
        <v>1</v>
      </c>
      <c r="B29" t="s">
        <v>10</v>
      </c>
      <c r="C29" t="s">
        <v>35</v>
      </c>
      <c r="D29">
        <v>0.4975</v>
      </c>
      <c r="G29" t="s">
        <v>35</v>
      </c>
      <c r="H29" t="s">
        <v>19</v>
      </c>
    </row>
    <row r="30" spans="1:16">
      <c r="A30">
        <v>1</v>
      </c>
      <c r="B30" t="s">
        <v>10</v>
      </c>
      <c r="C30" t="s">
        <v>35</v>
      </c>
      <c r="D30">
        <v>1.3625</v>
      </c>
      <c r="O30" s="2" t="s">
        <v>497</v>
      </c>
      <c r="P30" s="2" t="s">
        <v>498</v>
      </c>
    </row>
    <row r="31" spans="1:16">
      <c r="A31">
        <v>1</v>
      </c>
      <c r="B31" t="s">
        <v>10</v>
      </c>
      <c r="C31" t="s">
        <v>35</v>
      </c>
      <c r="D31">
        <v>1.155</v>
      </c>
      <c r="G31" s="1">
        <v>0</v>
      </c>
      <c r="H31">
        <v>0.5175</v>
      </c>
      <c r="I31">
        <v>0.815</v>
      </c>
      <c r="J31">
        <v>0.95</v>
      </c>
      <c r="K31">
        <v>0.6825</v>
      </c>
      <c r="L31">
        <v>0.645</v>
      </c>
      <c r="N31" s="1">
        <v>0</v>
      </c>
      <c r="O31" s="2">
        <f>AVERAGE(H31:L31)</f>
        <v>0.722</v>
      </c>
      <c r="P31" s="2">
        <f>(STDEV(H31:L31))/(SQRT(COUNT(H31:L31)))</f>
        <v>0.0741425990912107</v>
      </c>
    </row>
    <row r="32" spans="1:16">
      <c r="A32">
        <v>2</v>
      </c>
      <c r="B32" t="s">
        <v>10</v>
      </c>
      <c r="C32" t="s">
        <v>35</v>
      </c>
      <c r="D32">
        <v>0.97</v>
      </c>
      <c r="G32" s="1">
        <v>1</v>
      </c>
      <c r="H32">
        <v>0.61</v>
      </c>
      <c r="I32">
        <v>1.0075</v>
      </c>
      <c r="J32">
        <v>1.0925</v>
      </c>
      <c r="K32">
        <v>0.9125</v>
      </c>
      <c r="L32">
        <v>0.815</v>
      </c>
      <c r="N32" s="1">
        <v>1</v>
      </c>
      <c r="O32" s="2">
        <f>AVERAGE(H32:L32)</f>
        <v>0.8875</v>
      </c>
      <c r="P32" s="2">
        <f>(STDEV(H32:L32))/(SQRT(COUNT(H32:L32)))</f>
        <v>0.083460319913118</v>
      </c>
    </row>
    <row r="33" spans="1:16">
      <c r="A33">
        <v>2</v>
      </c>
      <c r="B33" t="s">
        <v>10</v>
      </c>
      <c r="C33" t="s">
        <v>35</v>
      </c>
      <c r="D33">
        <v>1.3175</v>
      </c>
      <c r="G33" s="1">
        <v>2</v>
      </c>
      <c r="H33">
        <v>0.5025</v>
      </c>
      <c r="I33">
        <v>0.7775</v>
      </c>
      <c r="J33">
        <v>1.0775</v>
      </c>
      <c r="K33">
        <v>0.8725</v>
      </c>
      <c r="L33">
        <v>0.735</v>
      </c>
      <c r="N33" s="1">
        <v>2</v>
      </c>
      <c r="O33" s="2">
        <f>AVERAGE(H33:L33)</f>
        <v>0.793</v>
      </c>
      <c r="P33" s="2">
        <f>(STDEV(H33:L33))/(SQRT(COUNT(H33:L33)))</f>
        <v>0.0936095614774474</v>
      </c>
    </row>
    <row r="34" spans="1:16">
      <c r="A34">
        <v>2</v>
      </c>
      <c r="B34" t="s">
        <v>10</v>
      </c>
      <c r="C34" t="s">
        <v>35</v>
      </c>
      <c r="D34">
        <v>0.8275</v>
      </c>
      <c r="G34" s="1">
        <v>3</v>
      </c>
      <c r="H34">
        <v>0.36</v>
      </c>
      <c r="I34">
        <v>0.6025</v>
      </c>
      <c r="J34">
        <v>0.8025</v>
      </c>
      <c r="K34">
        <v>0.81</v>
      </c>
      <c r="L34">
        <v>0.5275</v>
      </c>
      <c r="N34" s="1">
        <v>3</v>
      </c>
      <c r="O34" s="2">
        <f>AVERAGE(H34:L34)</f>
        <v>0.6205</v>
      </c>
      <c r="P34" s="2">
        <f>(STDEV(H34:L34))/(SQRT(COUNT(H34:L34)))</f>
        <v>0.0854012587729244</v>
      </c>
    </row>
    <row r="35" spans="1:16">
      <c r="A35">
        <v>2</v>
      </c>
      <c r="B35" t="s">
        <v>10</v>
      </c>
      <c r="C35" t="s">
        <v>35</v>
      </c>
      <c r="D35">
        <v>1.605</v>
      </c>
    </row>
    <row r="36" spans="1:16">
      <c r="A36">
        <v>2</v>
      </c>
      <c r="B36" t="s">
        <v>10</v>
      </c>
      <c r="C36" t="s">
        <v>35</v>
      </c>
      <c r="D36">
        <v>1.3675</v>
      </c>
    </row>
    <row r="37" spans="1:16">
      <c r="A37">
        <v>3</v>
      </c>
      <c r="B37" t="s">
        <v>10</v>
      </c>
      <c r="C37" t="s">
        <v>35</v>
      </c>
      <c r="D37">
        <v>1.185</v>
      </c>
    </row>
    <row r="38" spans="1:16">
      <c r="A38">
        <v>3</v>
      </c>
      <c r="B38" t="s">
        <v>10</v>
      </c>
      <c r="C38" t="s">
        <v>35</v>
      </c>
      <c r="D38">
        <v>1.3375</v>
      </c>
    </row>
    <row r="39" spans="1:16">
      <c r="A39">
        <v>3</v>
      </c>
      <c r="B39" t="s">
        <v>10</v>
      </c>
      <c r="C39" t="s">
        <v>35</v>
      </c>
      <c r="D39">
        <v>1.1625</v>
      </c>
    </row>
    <row r="40" spans="1:16">
      <c r="A40">
        <v>3</v>
      </c>
      <c r="B40" t="s">
        <v>10</v>
      </c>
      <c r="C40" t="s">
        <v>35</v>
      </c>
      <c r="D40">
        <v>1.6125</v>
      </c>
    </row>
    <row r="41" spans="1:16">
      <c r="A41">
        <v>3</v>
      </c>
      <c r="B41" t="s">
        <v>10</v>
      </c>
      <c r="C41" t="s">
        <v>35</v>
      </c>
      <c r="D41">
        <v>1.8</v>
      </c>
    </row>
    <row r="42" spans="1:16">
      <c r="A42">
        <v>0</v>
      </c>
      <c r="B42" t="s">
        <v>19</v>
      </c>
      <c r="C42" t="s">
        <v>35</v>
      </c>
      <c r="D42">
        <v>0.5175</v>
      </c>
    </row>
    <row r="43" spans="1:16">
      <c r="A43">
        <v>0</v>
      </c>
      <c r="B43" t="s">
        <v>19</v>
      </c>
      <c r="C43" t="s">
        <v>35</v>
      </c>
      <c r="D43">
        <v>0.815</v>
      </c>
    </row>
    <row r="44" spans="1:16">
      <c r="A44">
        <v>0</v>
      </c>
      <c r="B44" t="s">
        <v>19</v>
      </c>
      <c r="C44" t="s">
        <v>35</v>
      </c>
      <c r="D44">
        <v>0.95</v>
      </c>
    </row>
    <row r="45" spans="1:16">
      <c r="A45">
        <v>0</v>
      </c>
      <c r="B45" t="s">
        <v>19</v>
      </c>
      <c r="C45" t="s">
        <v>35</v>
      </c>
      <c r="D45">
        <v>0.6825</v>
      </c>
    </row>
    <row r="46" spans="1:16">
      <c r="A46">
        <v>0</v>
      </c>
      <c r="B46" t="s">
        <v>19</v>
      </c>
      <c r="C46" t="s">
        <v>35</v>
      </c>
      <c r="D46">
        <v>0.645</v>
      </c>
    </row>
    <row r="47" spans="1:16">
      <c r="A47">
        <v>1</v>
      </c>
      <c r="B47" t="s">
        <v>19</v>
      </c>
      <c r="C47" t="s">
        <v>35</v>
      </c>
      <c r="D47">
        <v>0.61</v>
      </c>
    </row>
    <row r="48" spans="1:16">
      <c r="A48">
        <v>1</v>
      </c>
      <c r="B48" t="s">
        <v>19</v>
      </c>
      <c r="C48" t="s">
        <v>35</v>
      </c>
      <c r="D48">
        <v>1.0075</v>
      </c>
    </row>
    <row r="49" spans="1:4">
      <c r="A49">
        <v>1</v>
      </c>
      <c r="B49" t="s">
        <v>19</v>
      </c>
      <c r="C49" t="s">
        <v>35</v>
      </c>
      <c r="D49">
        <v>1.0925</v>
      </c>
    </row>
    <row r="50" spans="1:4">
      <c r="A50">
        <v>1</v>
      </c>
      <c r="B50" t="s">
        <v>19</v>
      </c>
      <c r="C50" t="s">
        <v>35</v>
      </c>
      <c r="D50">
        <v>0.9125</v>
      </c>
    </row>
    <row r="51" spans="1:4">
      <c r="A51">
        <v>1</v>
      </c>
      <c r="B51" t="s">
        <v>19</v>
      </c>
      <c r="C51" t="s">
        <v>35</v>
      </c>
      <c r="D51">
        <v>0.815</v>
      </c>
    </row>
    <row r="52" spans="1:4">
      <c r="A52">
        <v>2</v>
      </c>
      <c r="B52" t="s">
        <v>19</v>
      </c>
      <c r="C52" t="s">
        <v>35</v>
      </c>
      <c r="D52">
        <v>0.5025</v>
      </c>
    </row>
    <row r="53" spans="1:4">
      <c r="A53">
        <v>2</v>
      </c>
      <c r="B53" t="s">
        <v>19</v>
      </c>
      <c r="C53" t="s">
        <v>35</v>
      </c>
      <c r="D53">
        <v>0.7775</v>
      </c>
    </row>
    <row r="54" spans="1:4">
      <c r="A54">
        <v>2</v>
      </c>
      <c r="B54" t="s">
        <v>19</v>
      </c>
      <c r="C54" t="s">
        <v>35</v>
      </c>
      <c r="D54">
        <v>1.0775</v>
      </c>
    </row>
    <row r="55" spans="1:4">
      <c r="A55">
        <v>2</v>
      </c>
      <c r="B55" t="s">
        <v>19</v>
      </c>
      <c r="C55" t="s">
        <v>35</v>
      </c>
      <c r="D55">
        <v>0.8725</v>
      </c>
    </row>
    <row r="56" spans="1:4">
      <c r="A56">
        <v>2</v>
      </c>
      <c r="B56" t="s">
        <v>19</v>
      </c>
      <c r="C56" t="s">
        <v>35</v>
      </c>
      <c r="D56">
        <v>0.735</v>
      </c>
    </row>
    <row r="57" spans="1:4">
      <c r="A57">
        <v>3</v>
      </c>
      <c r="B57" t="s">
        <v>19</v>
      </c>
      <c r="C57" t="s">
        <v>35</v>
      </c>
      <c r="D57">
        <v>0.36</v>
      </c>
    </row>
    <row r="58" spans="1:4">
      <c r="A58">
        <v>3</v>
      </c>
      <c r="B58" t="s">
        <v>19</v>
      </c>
      <c r="C58" t="s">
        <v>35</v>
      </c>
      <c r="D58">
        <v>0.6025</v>
      </c>
    </row>
    <row r="59" spans="1:4">
      <c r="A59">
        <v>3</v>
      </c>
      <c r="B59" t="s">
        <v>19</v>
      </c>
      <c r="C59" t="s">
        <v>35</v>
      </c>
      <c r="D59">
        <v>0.8025</v>
      </c>
    </row>
    <row r="60" spans="1:4">
      <c r="A60">
        <v>3</v>
      </c>
      <c r="B60" t="s">
        <v>19</v>
      </c>
      <c r="C60" t="s">
        <v>35</v>
      </c>
      <c r="D60">
        <v>0.81</v>
      </c>
    </row>
    <row r="61" spans="1:4">
      <c r="A61">
        <v>3</v>
      </c>
      <c r="B61" t="s">
        <v>19</v>
      </c>
      <c r="C61" t="s">
        <v>35</v>
      </c>
      <c r="D61">
        <v>0.5275</v>
      </c>
    </row>
  </sheetData>
  <sortState ref="A2:D61">
    <sortCondition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G1" workbookViewId="0">
      <selection pane="topLeft" activeCell="O29" sqref="O29"/>
    </sheetView>
  </sheetViews>
  <sheetFormatPr baseColWidth="10" defaultRowHeight="15"/>
  <cols>
    <col min="1" max="1" width="4.33203125" bestFit="1" customWidth="1"/>
    <col min="4" max="4" width="13.1640625" bestFit="1" customWidth="1"/>
    <col min="14" max="14" width="18.1640625" bestFit="1" customWidth="1"/>
  </cols>
  <sheetData>
    <row r="1" spans="1:67">
      <c r="A1" s="1" t="s">
        <v>2</v>
      </c>
      <c r="B1" s="1" t="s">
        <v>3</v>
      </c>
      <c r="C1" s="1" t="s">
        <v>1</v>
      </c>
      <c r="D1" s="1" t="s">
        <v>6</v>
      </c>
      <c r="G1" s="1" t="s">
        <v>2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2</v>
      </c>
      <c r="S1">
        <v>2</v>
      </c>
      <c r="T1">
        <v>2</v>
      </c>
      <c r="U1">
        <v>2</v>
      </c>
      <c r="V1">
        <v>2</v>
      </c>
      <c r="W1">
        <v>3</v>
      </c>
      <c r="X1">
        <v>3</v>
      </c>
      <c r="Y1">
        <v>3</v>
      </c>
      <c r="Z1">
        <v>3</v>
      </c>
      <c r="AA1">
        <v>3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1</v>
      </c>
      <c r="AI1">
        <v>1</v>
      </c>
      <c r="AJ1">
        <v>1</v>
      </c>
      <c r="AK1">
        <v>1</v>
      </c>
      <c r="AL1">
        <v>2</v>
      </c>
      <c r="AM1">
        <v>2</v>
      </c>
      <c r="AN1">
        <v>2</v>
      </c>
      <c r="AO1">
        <v>2</v>
      </c>
      <c r="AP1">
        <v>2</v>
      </c>
      <c r="AQ1">
        <v>3</v>
      </c>
      <c r="AR1">
        <v>3</v>
      </c>
      <c r="AS1">
        <v>3</v>
      </c>
      <c r="AT1">
        <v>3</v>
      </c>
      <c r="AU1">
        <v>3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1</v>
      </c>
      <c r="BD1">
        <v>1</v>
      </c>
      <c r="BE1">
        <v>1</v>
      </c>
      <c r="BF1">
        <v>2</v>
      </c>
      <c r="BG1">
        <v>2</v>
      </c>
      <c r="BH1">
        <v>2</v>
      </c>
      <c r="BI1">
        <v>2</v>
      </c>
      <c r="BJ1">
        <v>2</v>
      </c>
      <c r="BK1">
        <v>3</v>
      </c>
      <c r="BL1">
        <v>3</v>
      </c>
      <c r="BM1">
        <v>3</v>
      </c>
      <c r="BN1">
        <v>3</v>
      </c>
      <c r="BO1">
        <v>3</v>
      </c>
    </row>
    <row r="2" spans="1:67">
      <c r="A2">
        <v>0</v>
      </c>
      <c r="B2" s="1" t="s">
        <v>9</v>
      </c>
      <c r="C2" t="s">
        <v>18</v>
      </c>
      <c r="D2">
        <v>0.74</v>
      </c>
      <c r="F2" t="s">
        <v>9</v>
      </c>
      <c r="G2" s="1" t="s">
        <v>3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19</v>
      </c>
      <c r="AA2" t="s">
        <v>19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</row>
    <row r="3" spans="1:67">
      <c r="A3">
        <v>0</v>
      </c>
      <c r="B3" s="1" t="s">
        <v>9</v>
      </c>
      <c r="C3" t="s">
        <v>18</v>
      </c>
      <c r="D3">
        <v>0.435</v>
      </c>
      <c r="F3" t="s">
        <v>9</v>
      </c>
      <c r="G3" s="1" t="s">
        <v>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</row>
    <row r="4" spans="1:67">
      <c r="A4">
        <v>0</v>
      </c>
      <c r="B4" s="1" t="s">
        <v>9</v>
      </c>
      <c r="C4" t="s">
        <v>18</v>
      </c>
      <c r="D4">
        <v>1.25</v>
      </c>
      <c r="F4" t="s">
        <v>9</v>
      </c>
      <c r="G4" s="1" t="s">
        <v>6</v>
      </c>
      <c r="H4">
        <v>0.74</v>
      </c>
      <c r="I4">
        <v>0.435</v>
      </c>
      <c r="J4">
        <v>1.25</v>
      </c>
      <c r="K4">
        <v>0.665</v>
      </c>
      <c r="L4">
        <v>1.8</v>
      </c>
      <c r="M4">
        <v>0.7875</v>
      </c>
      <c r="N4">
        <v>0.6175</v>
      </c>
      <c r="O4">
        <v>1.2325</v>
      </c>
      <c r="P4">
        <v>0.84</v>
      </c>
      <c r="Q4">
        <v>2.035</v>
      </c>
      <c r="R4">
        <v>0.6125</v>
      </c>
      <c r="S4">
        <v>0.53</v>
      </c>
      <c r="T4">
        <v>1.1625</v>
      </c>
      <c r="U4">
        <v>0.8</v>
      </c>
      <c r="V4">
        <v>1.985</v>
      </c>
      <c r="W4">
        <v>0.385</v>
      </c>
      <c r="X4">
        <v>0.4</v>
      </c>
      <c r="Y4">
        <v>0.67</v>
      </c>
      <c r="Z4">
        <v>0.7</v>
      </c>
      <c r="AA4">
        <v>1.7075</v>
      </c>
      <c r="AB4">
        <v>1.365</v>
      </c>
      <c r="AC4">
        <v>0.715</v>
      </c>
      <c r="AD4">
        <v>1.2925</v>
      </c>
      <c r="AE4">
        <v>0.6675</v>
      </c>
      <c r="AF4">
        <v>1.605</v>
      </c>
      <c r="AG4">
        <v>1.9625</v>
      </c>
      <c r="AH4">
        <v>1.1825</v>
      </c>
      <c r="AI4">
        <v>2.0675</v>
      </c>
      <c r="AJ4">
        <v>1.155</v>
      </c>
      <c r="AK4">
        <v>2.5575</v>
      </c>
      <c r="AL4">
        <v>2.4325</v>
      </c>
      <c r="AM4">
        <v>1.25</v>
      </c>
      <c r="AN4">
        <v>2.49</v>
      </c>
      <c r="AO4">
        <v>1.455</v>
      </c>
      <c r="AP4">
        <v>1.01</v>
      </c>
      <c r="AQ4">
        <v>3.275</v>
      </c>
      <c r="AR4">
        <v>1.23</v>
      </c>
      <c r="AS4">
        <v>3.26</v>
      </c>
      <c r="AT4">
        <v>1.3475</v>
      </c>
      <c r="AU4">
        <v>1.53</v>
      </c>
      <c r="AV4">
        <v>0.9575</v>
      </c>
      <c r="AW4">
        <v>1.415</v>
      </c>
      <c r="AX4">
        <v>0.2</v>
      </c>
      <c r="AY4">
        <v>0.9725</v>
      </c>
      <c r="AZ4">
        <v>0.655</v>
      </c>
      <c r="BA4">
        <v>1.3325</v>
      </c>
      <c r="BB4">
        <v>1.8425</v>
      </c>
      <c r="BC4">
        <v>0.54</v>
      </c>
      <c r="BD4">
        <v>1.4825</v>
      </c>
      <c r="BE4">
        <v>1.14</v>
      </c>
      <c r="BF4">
        <v>1.69</v>
      </c>
      <c r="BG4">
        <v>2.5025</v>
      </c>
      <c r="BH4">
        <v>0.685</v>
      </c>
      <c r="BI4">
        <v>2.125</v>
      </c>
      <c r="BJ4">
        <v>1.45</v>
      </c>
      <c r="BK4">
        <v>1.8025</v>
      </c>
      <c r="BL4">
        <v>3.14</v>
      </c>
      <c r="BM4">
        <v>1.03</v>
      </c>
      <c r="BN4">
        <v>2.71</v>
      </c>
      <c r="BO4">
        <v>2.1925</v>
      </c>
    </row>
    <row r="5" spans="1:67">
      <c r="A5">
        <v>0</v>
      </c>
      <c r="B5" s="1" t="s">
        <v>9</v>
      </c>
      <c r="C5" t="s">
        <v>18</v>
      </c>
      <c r="D5">
        <v>0.665</v>
      </c>
      <c r="F5" t="s">
        <v>9</v>
      </c>
    </row>
    <row r="6" spans="1:67">
      <c r="A6">
        <v>0</v>
      </c>
      <c r="B6" s="1" t="s">
        <v>9</v>
      </c>
      <c r="C6" t="s">
        <v>18</v>
      </c>
      <c r="D6">
        <v>1.8</v>
      </c>
      <c r="F6" t="s">
        <v>9</v>
      </c>
    </row>
    <row r="7" spans="1:67">
      <c r="A7">
        <v>1</v>
      </c>
      <c r="B7" s="1" t="s">
        <v>9</v>
      </c>
      <c r="C7" t="s">
        <v>18</v>
      </c>
      <c r="D7">
        <v>0.7875</v>
      </c>
      <c r="F7" t="s">
        <v>9</v>
      </c>
      <c r="G7" t="s">
        <v>18</v>
      </c>
      <c r="H7" t="s">
        <v>9</v>
      </c>
      <c r="V7" t="s">
        <v>498</v>
      </c>
      <c r="W7" t="s">
        <v>498</v>
      </c>
      <c r="X7" t="s">
        <v>498</v>
      </c>
    </row>
    <row r="8" spans="1:67">
      <c r="A8">
        <v>1</v>
      </c>
      <c r="B8" s="1" t="s">
        <v>9</v>
      </c>
      <c r="C8" t="s">
        <v>18</v>
      </c>
      <c r="D8">
        <v>0.6175</v>
      </c>
      <c r="F8" t="s">
        <v>9</v>
      </c>
      <c r="N8" t="s">
        <v>511</v>
      </c>
      <c r="O8" s="2" t="s">
        <v>497</v>
      </c>
      <c r="P8" s="2" t="s">
        <v>498</v>
      </c>
      <c r="R8" t="s">
        <v>514</v>
      </c>
      <c r="S8" t="s">
        <v>511</v>
      </c>
      <c r="T8" s="1" t="s">
        <v>512</v>
      </c>
      <c r="U8" s="1" t="s">
        <v>513</v>
      </c>
      <c r="V8" t="s">
        <v>511</v>
      </c>
      <c r="W8" s="1" t="s">
        <v>512</v>
      </c>
      <c r="X8" s="1" t="s">
        <v>513</v>
      </c>
    </row>
    <row r="9" spans="1:67">
      <c r="A9">
        <v>1</v>
      </c>
      <c r="B9" s="1" t="s">
        <v>9</v>
      </c>
      <c r="C9" t="s">
        <v>18</v>
      </c>
      <c r="D9">
        <v>1.2325</v>
      </c>
      <c r="F9" t="s">
        <v>9</v>
      </c>
      <c r="G9" s="1">
        <v>0</v>
      </c>
      <c r="H9">
        <v>0.9575</v>
      </c>
      <c r="I9">
        <v>1.415</v>
      </c>
      <c r="J9">
        <v>0.2</v>
      </c>
      <c r="K9">
        <v>0.9725</v>
      </c>
      <c r="L9">
        <v>0.655</v>
      </c>
      <c r="N9" s="1">
        <v>0</v>
      </c>
      <c r="O9" s="2">
        <f>AVERAGE(H9:L9)</f>
        <v>0.84</v>
      </c>
      <c r="P9" s="2">
        <f>(STDEV(H9:L9))/(SQRT(COUNT(H9:L9)))</f>
        <v>0.200725247540014</v>
      </c>
      <c r="R9">
        <v>0</v>
      </c>
      <c r="S9" s="2">
        <f>O9</f>
        <v>0.84</v>
      </c>
      <c r="T9" s="2">
        <f>O19</f>
        <v>1.129</v>
      </c>
      <c r="U9" s="2">
        <f>O28</f>
        <v>0.978</v>
      </c>
      <c r="V9" s="2">
        <f>P9</f>
        <v>0.200725247540014</v>
      </c>
      <c r="W9" s="2">
        <f>P19</f>
        <v>0.186196468817215</v>
      </c>
      <c r="X9" s="2">
        <f>P28</f>
        <v>0.244860164175392</v>
      </c>
    </row>
    <row r="10" spans="1:67">
      <c r="A10">
        <v>1</v>
      </c>
      <c r="B10" s="1" t="s">
        <v>9</v>
      </c>
      <c r="C10" t="s">
        <v>18</v>
      </c>
      <c r="D10">
        <v>0.84</v>
      </c>
      <c r="F10" t="s">
        <v>9</v>
      </c>
      <c r="G10" s="1">
        <v>1</v>
      </c>
      <c r="H10">
        <v>1.3325</v>
      </c>
      <c r="I10">
        <v>1.8425</v>
      </c>
      <c r="J10">
        <v>0.54</v>
      </c>
      <c r="K10">
        <v>1.4825</v>
      </c>
      <c r="L10">
        <v>1.14</v>
      </c>
      <c r="N10" s="1">
        <v>1</v>
      </c>
      <c r="O10" s="2">
        <f>AVERAGE(H10:L10)</f>
        <v>1.2675</v>
      </c>
      <c r="P10" s="2">
        <f>(STDEV(H10:L10))/(SQRT(COUNT(H10:L10)))</f>
        <v>0.215242595691466</v>
      </c>
      <c r="R10">
        <v>1</v>
      </c>
      <c r="S10" s="2">
        <f>O10</f>
        <v>1.2675</v>
      </c>
      <c r="T10" s="2">
        <f>O20</f>
        <v>1.785</v>
      </c>
      <c r="U10" s="2">
        <f>O29</f>
        <v>1.1025</v>
      </c>
      <c r="V10" s="2">
        <f>P10</f>
        <v>0.215242595691466</v>
      </c>
      <c r="W10" s="2">
        <f>P20</f>
        <v>0.270922036755964</v>
      </c>
      <c r="X10" s="2">
        <f>P29</f>
        <v>0.253950044300055</v>
      </c>
    </row>
    <row r="11" spans="1:67">
      <c r="A11">
        <v>1</v>
      </c>
      <c r="B11" s="1" t="s">
        <v>9</v>
      </c>
      <c r="C11" t="s">
        <v>18</v>
      </c>
      <c r="D11">
        <v>2.035</v>
      </c>
      <c r="F11" t="s">
        <v>9</v>
      </c>
      <c r="G11" s="1">
        <v>2</v>
      </c>
      <c r="H11">
        <v>1.69</v>
      </c>
      <c r="I11">
        <v>2.5025</v>
      </c>
      <c r="J11">
        <v>0.685</v>
      </c>
      <c r="K11">
        <v>2.125</v>
      </c>
      <c r="L11">
        <v>1.45</v>
      </c>
      <c r="N11" s="1">
        <v>2</v>
      </c>
      <c r="O11" s="2">
        <f>AVERAGE(H11:L11)</f>
        <v>1.6905</v>
      </c>
      <c r="P11" s="2">
        <f>(STDEV(H11:L11))/(SQRT(COUNT(H11:L11)))</f>
        <v>0.30959691535931</v>
      </c>
      <c r="R11">
        <v>2</v>
      </c>
      <c r="S11" s="2">
        <f>O11</f>
        <v>1.6905</v>
      </c>
      <c r="T11" s="2">
        <f>O21</f>
        <v>1.7275</v>
      </c>
      <c r="U11" s="2">
        <f>O30</f>
        <v>1.018</v>
      </c>
      <c r="V11" s="2">
        <f>P11</f>
        <v>0.30959691535931</v>
      </c>
      <c r="W11" s="2">
        <f>P21</f>
        <v>0.307855485577243</v>
      </c>
      <c r="X11" s="2">
        <f>P30</f>
        <v>0.265147836121662</v>
      </c>
    </row>
    <row r="12" spans="1:67">
      <c r="A12">
        <v>2</v>
      </c>
      <c r="B12" s="1" t="s">
        <v>9</v>
      </c>
      <c r="C12" t="s">
        <v>18</v>
      </c>
      <c r="D12">
        <v>0.6125</v>
      </c>
      <c r="F12" t="s">
        <v>9</v>
      </c>
      <c r="G12" s="1">
        <v>3</v>
      </c>
      <c r="H12">
        <v>1.8025</v>
      </c>
      <c r="I12">
        <v>3.14</v>
      </c>
      <c r="J12">
        <v>1.03</v>
      </c>
      <c r="K12">
        <v>2.71</v>
      </c>
      <c r="L12">
        <v>2.1925</v>
      </c>
      <c r="N12" s="1">
        <v>3</v>
      </c>
      <c r="O12" s="2">
        <f>AVERAGE(H12:L12)</f>
        <v>2.175</v>
      </c>
      <c r="P12" s="2">
        <f>(STDEV(H12:L12))/(SQRT(COUNT(H12:L12)))</f>
        <v>0.365207988685899</v>
      </c>
      <c r="R12">
        <v>3</v>
      </c>
      <c r="S12" s="2">
        <f>O12</f>
        <v>2.175</v>
      </c>
      <c r="T12" s="2">
        <f>O22</f>
        <v>2.1285</v>
      </c>
      <c r="U12" s="2">
        <f>O31</f>
        <v>0.7725</v>
      </c>
      <c r="V12" s="2">
        <f>P12</f>
        <v>0.365207988685899</v>
      </c>
      <c r="W12" s="2">
        <f>P22</f>
        <v>0.467451601772847</v>
      </c>
      <c r="X12" s="2">
        <f>P31</f>
        <v>0.242785913924181</v>
      </c>
    </row>
    <row r="13" spans="1:67">
      <c r="A13">
        <v>2</v>
      </c>
      <c r="B13" s="1" t="s">
        <v>9</v>
      </c>
      <c r="C13" t="s">
        <v>18</v>
      </c>
      <c r="D13">
        <v>0.53</v>
      </c>
      <c r="F13" t="s">
        <v>9</v>
      </c>
    </row>
    <row r="14" spans="1:67">
      <c r="A14">
        <v>2</v>
      </c>
      <c r="B14" s="1" t="s">
        <v>9</v>
      </c>
      <c r="C14" t="s">
        <v>18</v>
      </c>
      <c r="D14">
        <v>1.1625</v>
      </c>
      <c r="F14" t="s">
        <v>9</v>
      </c>
    </row>
    <row r="15" spans="1:67">
      <c r="A15">
        <v>2</v>
      </c>
      <c r="B15" s="1" t="s">
        <v>9</v>
      </c>
      <c r="C15" t="s">
        <v>18</v>
      </c>
      <c r="D15">
        <v>0.8</v>
      </c>
      <c r="F15" t="s">
        <v>9</v>
      </c>
    </row>
    <row r="16" spans="1:67">
      <c r="A16">
        <v>2</v>
      </c>
      <c r="B16" s="1" t="s">
        <v>9</v>
      </c>
      <c r="C16" t="s">
        <v>18</v>
      </c>
      <c r="D16">
        <v>1.985</v>
      </c>
      <c r="F16" t="s">
        <v>9</v>
      </c>
    </row>
    <row r="17" spans="1:16">
      <c r="A17">
        <v>3</v>
      </c>
      <c r="B17" s="1" t="s">
        <v>9</v>
      </c>
      <c r="C17" t="s">
        <v>18</v>
      </c>
      <c r="D17">
        <v>0.385</v>
      </c>
      <c r="F17" t="s">
        <v>9</v>
      </c>
      <c r="G17" t="s">
        <v>18</v>
      </c>
      <c r="H17" t="s">
        <v>10</v>
      </c>
    </row>
    <row r="18" spans="1:16">
      <c r="A18">
        <v>3</v>
      </c>
      <c r="B18" s="1" t="s">
        <v>9</v>
      </c>
      <c r="C18" t="s">
        <v>18</v>
      </c>
      <c r="D18">
        <v>0.4</v>
      </c>
      <c r="F18" t="s">
        <v>9</v>
      </c>
      <c r="N18" s="1" t="s">
        <v>512</v>
      </c>
      <c r="O18" s="2" t="s">
        <v>497</v>
      </c>
      <c r="P18" s="2" t="s">
        <v>498</v>
      </c>
    </row>
    <row r="19" spans="1:16">
      <c r="A19">
        <v>3</v>
      </c>
      <c r="B19" s="1" t="s">
        <v>9</v>
      </c>
      <c r="C19" t="s">
        <v>18</v>
      </c>
      <c r="D19">
        <v>0.67</v>
      </c>
      <c r="F19" t="s">
        <v>9</v>
      </c>
      <c r="G19" s="1">
        <v>0</v>
      </c>
      <c r="H19">
        <v>1.365</v>
      </c>
      <c r="I19">
        <v>0.715</v>
      </c>
      <c r="J19">
        <v>1.2925</v>
      </c>
      <c r="K19">
        <v>0.6675</v>
      </c>
      <c r="L19">
        <v>1.605</v>
      </c>
      <c r="N19" s="1">
        <v>0</v>
      </c>
      <c r="O19" s="2">
        <f>AVERAGE(H19:L19)</f>
        <v>1.129</v>
      </c>
      <c r="P19" s="2">
        <f>(STDEV(H19:L19))/(SQRT(COUNT(H19:L19)))</f>
        <v>0.186196468817215</v>
      </c>
    </row>
    <row r="20" spans="1:16">
      <c r="A20">
        <v>3</v>
      </c>
      <c r="B20" s="1" t="s">
        <v>9</v>
      </c>
      <c r="C20" t="s">
        <v>18</v>
      </c>
      <c r="D20">
        <v>0.7</v>
      </c>
      <c r="F20" t="s">
        <v>9</v>
      </c>
      <c r="G20" s="1">
        <v>1</v>
      </c>
      <c r="H20">
        <v>1.9625</v>
      </c>
      <c r="I20">
        <v>1.1825</v>
      </c>
      <c r="J20">
        <v>2.0675</v>
      </c>
      <c r="K20">
        <v>1.155</v>
      </c>
      <c r="L20">
        <v>2.5575</v>
      </c>
      <c r="N20" s="1">
        <v>1</v>
      </c>
      <c r="O20" s="2">
        <f>AVERAGE(H20:L20)</f>
        <v>1.785</v>
      </c>
      <c r="P20" s="2">
        <f>(STDEV(H20:L20))/(SQRT(COUNT(H20:L20)))</f>
        <v>0.270922036755964</v>
      </c>
    </row>
    <row r="21" spans="1:16">
      <c r="A21">
        <v>3</v>
      </c>
      <c r="B21" s="1" t="s">
        <v>9</v>
      </c>
      <c r="C21" t="s">
        <v>18</v>
      </c>
      <c r="D21">
        <v>1.7075</v>
      </c>
      <c r="F21" t="s">
        <v>9</v>
      </c>
      <c r="G21" s="1">
        <v>2</v>
      </c>
      <c r="H21">
        <v>2.4325</v>
      </c>
      <c r="I21">
        <v>1.25</v>
      </c>
      <c r="J21">
        <v>2.49</v>
      </c>
      <c r="K21">
        <v>1.455</v>
      </c>
      <c r="L21">
        <v>1.01</v>
      </c>
      <c r="N21" s="1">
        <v>2</v>
      </c>
      <c r="O21" s="2">
        <f>AVERAGE(H21:L21)</f>
        <v>1.7275</v>
      </c>
      <c r="P21" s="2">
        <f>(STDEV(H21:L21))/(SQRT(COUNT(H21:L21)))</f>
        <v>0.307855485577243</v>
      </c>
    </row>
    <row r="22" spans="1:16">
      <c r="A22">
        <v>0</v>
      </c>
      <c r="B22" t="s">
        <v>10</v>
      </c>
      <c r="C22" t="s">
        <v>18</v>
      </c>
      <c r="D22">
        <v>1.365</v>
      </c>
      <c r="G22" s="1">
        <v>3</v>
      </c>
      <c r="H22">
        <v>3.275</v>
      </c>
      <c r="I22">
        <v>1.23</v>
      </c>
      <c r="J22">
        <v>3.26</v>
      </c>
      <c r="K22">
        <v>1.3475</v>
      </c>
      <c r="L22">
        <v>1.53</v>
      </c>
      <c r="N22" s="1">
        <v>3</v>
      </c>
      <c r="O22" s="2">
        <f>AVERAGE(H22:L22)</f>
        <v>2.1285</v>
      </c>
      <c r="P22" s="2">
        <f>(STDEV(H22:L22))/(SQRT(COUNT(H22:L22)))</f>
        <v>0.467451601772847</v>
      </c>
    </row>
    <row r="23" spans="1:16">
      <c r="A23">
        <v>0</v>
      </c>
      <c r="B23" t="s">
        <v>10</v>
      </c>
      <c r="C23" t="s">
        <v>18</v>
      </c>
      <c r="D23">
        <v>0.715</v>
      </c>
    </row>
    <row r="24" spans="1:16">
      <c r="A24">
        <v>0</v>
      </c>
      <c r="B24" t="s">
        <v>10</v>
      </c>
      <c r="C24" t="s">
        <v>18</v>
      </c>
      <c r="D24">
        <v>1.2925</v>
      </c>
    </row>
    <row r="25" spans="1:16">
      <c r="A25">
        <v>0</v>
      </c>
      <c r="B25" t="s">
        <v>10</v>
      </c>
      <c r="C25" t="s">
        <v>18</v>
      </c>
      <c r="D25">
        <v>0.6675</v>
      </c>
    </row>
    <row r="26" spans="1:16">
      <c r="A26">
        <v>0</v>
      </c>
      <c r="B26" t="s">
        <v>10</v>
      </c>
      <c r="C26" t="s">
        <v>18</v>
      </c>
      <c r="D26">
        <v>1.605</v>
      </c>
      <c r="G26" t="s">
        <v>18</v>
      </c>
      <c r="H26" t="s">
        <v>19</v>
      </c>
    </row>
    <row r="27" spans="1:16">
      <c r="A27">
        <v>1</v>
      </c>
      <c r="B27" t="s">
        <v>10</v>
      </c>
      <c r="C27" t="s">
        <v>18</v>
      </c>
      <c r="D27">
        <v>1.9625</v>
      </c>
      <c r="N27" t="s">
        <v>513</v>
      </c>
      <c r="O27" s="2" t="s">
        <v>497</v>
      </c>
      <c r="P27" s="2" t="s">
        <v>498</v>
      </c>
    </row>
    <row r="28" spans="1:16">
      <c r="A28">
        <v>1</v>
      </c>
      <c r="B28" t="s">
        <v>10</v>
      </c>
      <c r="C28" t="s">
        <v>18</v>
      </c>
      <c r="D28">
        <v>1.1825</v>
      </c>
      <c r="G28" s="1">
        <v>0</v>
      </c>
      <c r="H28">
        <v>0.74</v>
      </c>
      <c r="I28">
        <v>0.435</v>
      </c>
      <c r="J28">
        <v>1.25</v>
      </c>
      <c r="K28">
        <v>0.665</v>
      </c>
      <c r="L28">
        <v>1.8</v>
      </c>
      <c r="N28" s="1">
        <v>0</v>
      </c>
      <c r="O28" s="2">
        <f>AVERAGE(H28:L28)</f>
        <v>0.978</v>
      </c>
      <c r="P28" s="2">
        <f>(STDEV(H28:L28))/(SQRT(COUNT(H28:L28)))</f>
        <v>0.244860164175392</v>
      </c>
    </row>
    <row r="29" spans="1:16">
      <c r="A29">
        <v>1</v>
      </c>
      <c r="B29" t="s">
        <v>10</v>
      </c>
      <c r="C29" t="s">
        <v>18</v>
      </c>
      <c r="D29">
        <v>2.0675</v>
      </c>
      <c r="G29" s="1">
        <v>1</v>
      </c>
      <c r="H29">
        <v>0.7875</v>
      </c>
      <c r="I29">
        <v>0.6175</v>
      </c>
      <c r="J29">
        <v>1.2325</v>
      </c>
      <c r="K29">
        <v>0.84</v>
      </c>
      <c r="L29">
        <v>2.035</v>
      </c>
      <c r="N29" s="1">
        <v>1</v>
      </c>
      <c r="O29" s="2">
        <f>AVERAGE(H29:L29)</f>
        <v>1.1025</v>
      </c>
      <c r="P29" s="2">
        <f>(STDEV(H29:L29))/(SQRT(COUNT(H29:L29)))</f>
        <v>0.253950044300055</v>
      </c>
    </row>
    <row r="30" spans="1:16">
      <c r="A30">
        <v>1</v>
      </c>
      <c r="B30" t="s">
        <v>10</v>
      </c>
      <c r="C30" t="s">
        <v>18</v>
      </c>
      <c r="D30">
        <v>1.155</v>
      </c>
      <c r="G30" s="1">
        <v>2</v>
      </c>
      <c r="H30">
        <v>0.6125</v>
      </c>
      <c r="I30">
        <v>0.53</v>
      </c>
      <c r="J30">
        <v>1.1625</v>
      </c>
      <c r="K30">
        <v>0.8</v>
      </c>
      <c r="L30">
        <v>1.985</v>
      </c>
      <c r="N30" s="1">
        <v>2</v>
      </c>
      <c r="O30" s="2">
        <f>AVERAGE(H30:L30)</f>
        <v>1.018</v>
      </c>
      <c r="P30" s="2">
        <f>(STDEV(H30:L30))/(SQRT(COUNT(H30:L30)))</f>
        <v>0.265147836121662</v>
      </c>
    </row>
    <row r="31" spans="1:16">
      <c r="A31">
        <v>1</v>
      </c>
      <c r="B31" t="s">
        <v>10</v>
      </c>
      <c r="C31" t="s">
        <v>18</v>
      </c>
      <c r="D31">
        <v>2.5575</v>
      </c>
      <c r="G31" s="1">
        <v>3</v>
      </c>
      <c r="H31">
        <v>0.385</v>
      </c>
      <c r="I31">
        <v>0.4</v>
      </c>
      <c r="J31">
        <v>0.67</v>
      </c>
      <c r="K31">
        <v>0.7</v>
      </c>
      <c r="L31">
        <v>1.7075</v>
      </c>
      <c r="N31" s="1">
        <v>3</v>
      </c>
      <c r="O31" s="2">
        <f>AVERAGE(H31:L31)</f>
        <v>0.7725</v>
      </c>
      <c r="P31" s="2">
        <f>(STDEV(H31:L31))/(SQRT(COUNT(H31:L31)))</f>
        <v>0.242785913924181</v>
      </c>
    </row>
    <row r="32" spans="1:16">
      <c r="A32">
        <v>2</v>
      </c>
      <c r="B32" t="s">
        <v>10</v>
      </c>
      <c r="C32" t="s">
        <v>18</v>
      </c>
      <c r="D32">
        <v>2.4325</v>
      </c>
    </row>
    <row r="33" spans="1:4">
      <c r="A33">
        <v>2</v>
      </c>
      <c r="B33" t="s">
        <v>10</v>
      </c>
      <c r="C33" t="s">
        <v>18</v>
      </c>
      <c r="D33">
        <v>1.25</v>
      </c>
    </row>
    <row r="34" spans="1:4">
      <c r="A34">
        <v>2</v>
      </c>
      <c r="B34" t="s">
        <v>10</v>
      </c>
      <c r="C34" t="s">
        <v>18</v>
      </c>
      <c r="D34">
        <v>2.49</v>
      </c>
    </row>
    <row r="35" spans="1:4">
      <c r="A35">
        <v>2</v>
      </c>
      <c r="B35" t="s">
        <v>10</v>
      </c>
      <c r="C35" t="s">
        <v>18</v>
      </c>
      <c r="D35">
        <v>1.455</v>
      </c>
    </row>
    <row r="36" spans="1:4">
      <c r="A36">
        <v>2</v>
      </c>
      <c r="B36" t="s">
        <v>10</v>
      </c>
      <c r="C36" t="s">
        <v>18</v>
      </c>
      <c r="D36">
        <v>1.01</v>
      </c>
    </row>
    <row r="37" spans="1:4">
      <c r="A37">
        <v>3</v>
      </c>
      <c r="B37" t="s">
        <v>10</v>
      </c>
      <c r="C37" t="s">
        <v>18</v>
      </c>
      <c r="D37">
        <v>3.275</v>
      </c>
    </row>
    <row r="38" spans="1:4">
      <c r="A38">
        <v>3</v>
      </c>
      <c r="B38" t="s">
        <v>10</v>
      </c>
      <c r="C38" t="s">
        <v>18</v>
      </c>
      <c r="D38">
        <v>1.23</v>
      </c>
    </row>
    <row r="39" spans="1:4">
      <c r="A39">
        <v>3</v>
      </c>
      <c r="B39" t="s">
        <v>10</v>
      </c>
      <c r="C39" t="s">
        <v>18</v>
      </c>
      <c r="D39">
        <v>3.26</v>
      </c>
    </row>
    <row r="40" spans="1:4">
      <c r="A40">
        <v>3</v>
      </c>
      <c r="B40" t="s">
        <v>10</v>
      </c>
      <c r="C40" t="s">
        <v>18</v>
      </c>
      <c r="D40">
        <v>1.3475</v>
      </c>
    </row>
    <row r="41" spans="1:4">
      <c r="A41">
        <v>3</v>
      </c>
      <c r="B41" t="s">
        <v>10</v>
      </c>
      <c r="C41" t="s">
        <v>18</v>
      </c>
      <c r="D41">
        <v>1.53</v>
      </c>
    </row>
    <row r="42" spans="1:4">
      <c r="A42">
        <v>0</v>
      </c>
      <c r="B42" t="s">
        <v>19</v>
      </c>
      <c r="C42" t="s">
        <v>18</v>
      </c>
      <c r="D42">
        <v>0.9575</v>
      </c>
    </row>
    <row r="43" spans="1:4">
      <c r="A43">
        <v>0</v>
      </c>
      <c r="B43" t="s">
        <v>19</v>
      </c>
      <c r="C43" t="s">
        <v>18</v>
      </c>
      <c r="D43">
        <v>1.415</v>
      </c>
    </row>
    <row r="44" spans="1:4">
      <c r="A44">
        <v>0</v>
      </c>
      <c r="B44" t="s">
        <v>19</v>
      </c>
      <c r="C44" t="s">
        <v>18</v>
      </c>
      <c r="D44">
        <v>0.2</v>
      </c>
    </row>
    <row r="45" spans="1:4">
      <c r="A45">
        <v>0</v>
      </c>
      <c r="B45" t="s">
        <v>19</v>
      </c>
      <c r="C45" t="s">
        <v>18</v>
      </c>
      <c r="D45">
        <v>0.9725</v>
      </c>
    </row>
    <row r="46" spans="1:4">
      <c r="A46">
        <v>0</v>
      </c>
      <c r="B46" t="s">
        <v>19</v>
      </c>
      <c r="C46" t="s">
        <v>18</v>
      </c>
      <c r="D46">
        <v>0.655</v>
      </c>
    </row>
    <row r="47" spans="1:4">
      <c r="A47">
        <v>1</v>
      </c>
      <c r="B47" t="s">
        <v>19</v>
      </c>
      <c r="C47" t="s">
        <v>18</v>
      </c>
      <c r="D47">
        <v>1.3325</v>
      </c>
    </row>
    <row r="48" spans="1:4">
      <c r="A48">
        <v>1</v>
      </c>
      <c r="B48" t="s">
        <v>19</v>
      </c>
      <c r="C48" t="s">
        <v>18</v>
      </c>
      <c r="D48">
        <v>1.8425</v>
      </c>
    </row>
    <row r="49" spans="1:4">
      <c r="A49">
        <v>1</v>
      </c>
      <c r="B49" t="s">
        <v>19</v>
      </c>
      <c r="C49" t="s">
        <v>18</v>
      </c>
      <c r="D49">
        <v>0.54</v>
      </c>
    </row>
    <row r="50" spans="1:4">
      <c r="A50">
        <v>1</v>
      </c>
      <c r="B50" t="s">
        <v>19</v>
      </c>
      <c r="C50" t="s">
        <v>18</v>
      </c>
      <c r="D50">
        <v>1.4825</v>
      </c>
    </row>
    <row r="51" spans="1:4">
      <c r="A51">
        <v>1</v>
      </c>
      <c r="B51" t="s">
        <v>19</v>
      </c>
      <c r="C51" t="s">
        <v>18</v>
      </c>
      <c r="D51">
        <v>1.14</v>
      </c>
    </row>
    <row r="52" spans="1:4">
      <c r="A52">
        <v>2</v>
      </c>
      <c r="B52" t="s">
        <v>19</v>
      </c>
      <c r="C52" t="s">
        <v>18</v>
      </c>
      <c r="D52">
        <v>1.69</v>
      </c>
    </row>
    <row r="53" spans="1:4">
      <c r="A53">
        <v>2</v>
      </c>
      <c r="B53" t="s">
        <v>19</v>
      </c>
      <c r="C53" t="s">
        <v>18</v>
      </c>
      <c r="D53">
        <v>2.5025</v>
      </c>
    </row>
    <row r="54" spans="1:4">
      <c r="A54">
        <v>2</v>
      </c>
      <c r="B54" t="s">
        <v>19</v>
      </c>
      <c r="C54" t="s">
        <v>18</v>
      </c>
      <c r="D54">
        <v>0.685</v>
      </c>
    </row>
    <row r="55" spans="1:4">
      <c r="A55">
        <v>2</v>
      </c>
      <c r="B55" t="s">
        <v>19</v>
      </c>
      <c r="C55" t="s">
        <v>18</v>
      </c>
      <c r="D55">
        <v>2.125</v>
      </c>
    </row>
    <row r="56" spans="1:4">
      <c r="A56">
        <v>2</v>
      </c>
      <c r="B56" t="s">
        <v>19</v>
      </c>
      <c r="C56" t="s">
        <v>18</v>
      </c>
      <c r="D56">
        <v>1.45</v>
      </c>
    </row>
    <row r="57" spans="1:4">
      <c r="A57">
        <v>3</v>
      </c>
      <c r="B57" t="s">
        <v>19</v>
      </c>
      <c r="C57" t="s">
        <v>18</v>
      </c>
      <c r="D57">
        <v>1.8025</v>
      </c>
    </row>
    <row r="58" spans="1:4">
      <c r="A58">
        <v>3</v>
      </c>
      <c r="B58" t="s">
        <v>19</v>
      </c>
      <c r="C58" t="s">
        <v>18</v>
      </c>
      <c r="D58">
        <v>3.14</v>
      </c>
    </row>
    <row r="59" spans="1:4">
      <c r="A59">
        <v>3</v>
      </c>
      <c r="B59" t="s">
        <v>19</v>
      </c>
      <c r="C59" t="s">
        <v>18</v>
      </c>
      <c r="D59">
        <v>1.03</v>
      </c>
    </row>
    <row r="60" spans="1:4">
      <c r="A60">
        <v>3</v>
      </c>
      <c r="B60" t="s">
        <v>19</v>
      </c>
      <c r="C60" t="s">
        <v>18</v>
      </c>
      <c r="D60">
        <v>2.71</v>
      </c>
    </row>
    <row r="61" spans="1:4">
      <c r="A61">
        <v>3</v>
      </c>
      <c r="B61" t="s">
        <v>19</v>
      </c>
      <c r="C61" t="s">
        <v>18</v>
      </c>
      <c r="D61">
        <v>2.1925</v>
      </c>
    </row>
  </sheetData>
  <sortState ref="A2:D61">
    <sortCondition descending="1"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I1" workbookViewId="0">
      <selection pane="topLeft" activeCell="X17" sqref="X17"/>
    </sheetView>
  </sheetViews>
  <sheetFormatPr baseColWidth="10" defaultRowHeight="15"/>
  <cols>
    <col min="13" max="13" width="17.1640625" bestFit="1" customWidth="1"/>
  </cols>
  <sheetData>
    <row r="1" spans="1:70">
      <c r="A1" s="1" t="s">
        <v>2</v>
      </c>
      <c r="B1" s="1" t="s">
        <v>3</v>
      </c>
      <c r="C1" s="1" t="s">
        <v>1</v>
      </c>
      <c r="D1" s="1" t="s">
        <v>6</v>
      </c>
      <c r="F1" s="1" t="s">
        <v>2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1</v>
      </c>
      <c r="N1">
        <v>1</v>
      </c>
      <c r="O1">
        <v>1</v>
      </c>
      <c r="P1">
        <v>1</v>
      </c>
      <c r="Q1">
        <v>2</v>
      </c>
      <c r="R1">
        <v>2</v>
      </c>
      <c r="S1">
        <v>2</v>
      </c>
      <c r="T1">
        <v>2</v>
      </c>
      <c r="U1">
        <v>2</v>
      </c>
      <c r="V1">
        <v>3</v>
      </c>
      <c r="W1">
        <v>3</v>
      </c>
      <c r="X1">
        <v>3</v>
      </c>
      <c r="Y1">
        <v>3</v>
      </c>
      <c r="Z1">
        <v>3</v>
      </c>
      <c r="AA1">
        <v>0</v>
      </c>
      <c r="AB1">
        <v>0</v>
      </c>
      <c r="AC1">
        <v>0</v>
      </c>
      <c r="AD1">
        <v>0</v>
      </c>
      <c r="AE1">
        <v>0</v>
      </c>
      <c r="AF1">
        <v>1</v>
      </c>
      <c r="AG1">
        <v>1</v>
      </c>
      <c r="AH1">
        <v>1</v>
      </c>
      <c r="AI1">
        <v>1</v>
      </c>
      <c r="AJ1">
        <v>1</v>
      </c>
      <c r="AK1">
        <v>2</v>
      </c>
      <c r="AL1">
        <v>2</v>
      </c>
      <c r="AM1">
        <v>2</v>
      </c>
      <c r="AN1">
        <v>2</v>
      </c>
      <c r="AO1">
        <v>2</v>
      </c>
      <c r="AP1">
        <v>2</v>
      </c>
      <c r="AQ1">
        <v>3</v>
      </c>
      <c r="AR1">
        <v>3</v>
      </c>
      <c r="AS1">
        <v>3</v>
      </c>
      <c r="AT1">
        <v>3</v>
      </c>
      <c r="AU1">
        <v>3</v>
      </c>
      <c r="AV1">
        <v>3</v>
      </c>
      <c r="AW1">
        <v>0</v>
      </c>
      <c r="AX1">
        <v>1</v>
      </c>
      <c r="AY1">
        <v>0</v>
      </c>
      <c r="AZ1">
        <v>0</v>
      </c>
      <c r="BA1">
        <v>0</v>
      </c>
      <c r="BB1">
        <v>0</v>
      </c>
      <c r="BC1">
        <v>0</v>
      </c>
      <c r="BD1">
        <v>1</v>
      </c>
      <c r="BE1">
        <v>1</v>
      </c>
      <c r="BF1">
        <v>1</v>
      </c>
      <c r="BG1">
        <v>1</v>
      </c>
      <c r="BH1">
        <v>1</v>
      </c>
      <c r="BI1">
        <v>2</v>
      </c>
      <c r="BJ1">
        <v>2</v>
      </c>
      <c r="BK1">
        <v>2</v>
      </c>
      <c r="BL1">
        <v>2</v>
      </c>
      <c r="BM1">
        <v>2</v>
      </c>
      <c r="BN1">
        <v>3</v>
      </c>
      <c r="BO1">
        <v>3</v>
      </c>
      <c r="BP1">
        <v>3</v>
      </c>
      <c r="BQ1">
        <v>3</v>
      </c>
      <c r="BR1">
        <v>3</v>
      </c>
    </row>
    <row r="2" spans="1:70">
      <c r="A2">
        <v>0</v>
      </c>
      <c r="B2" t="s">
        <v>9</v>
      </c>
      <c r="C2" t="s">
        <v>16</v>
      </c>
      <c r="D2">
        <v>0.84</v>
      </c>
      <c r="F2" s="1" t="s">
        <v>3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19</v>
      </c>
      <c r="AZ2" t="s">
        <v>19</v>
      </c>
      <c r="BA2" t="s">
        <v>19</v>
      </c>
      <c r="BB2" t="s">
        <v>19</v>
      </c>
      <c r="BC2" t="s">
        <v>19</v>
      </c>
      <c r="BD2" t="s">
        <v>19</v>
      </c>
      <c r="BE2" t="s">
        <v>19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  <c r="BP2" t="s">
        <v>19</v>
      </c>
      <c r="BQ2" t="s">
        <v>19</v>
      </c>
      <c r="BR2" t="s">
        <v>19</v>
      </c>
    </row>
    <row r="3" spans="1:70">
      <c r="A3">
        <v>0</v>
      </c>
      <c r="B3" t="s">
        <v>9</v>
      </c>
      <c r="C3" t="s">
        <v>16</v>
      </c>
      <c r="D3">
        <v>0.6225</v>
      </c>
      <c r="F3" s="1" t="s">
        <v>1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16</v>
      </c>
      <c r="Y3" t="s">
        <v>16</v>
      </c>
      <c r="Z3" t="s">
        <v>16</v>
      </c>
      <c r="AA3" t="s">
        <v>16</v>
      </c>
      <c r="AB3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  <c r="AH3" t="s">
        <v>16</v>
      </c>
      <c r="AI3" t="s">
        <v>16</v>
      </c>
      <c r="AJ3" t="s">
        <v>16</v>
      </c>
      <c r="AK3" t="s">
        <v>16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t="s">
        <v>16</v>
      </c>
      <c r="AS3" t="s">
        <v>16</v>
      </c>
      <c r="AT3" t="s">
        <v>16</v>
      </c>
      <c r="AU3" t="s">
        <v>16</v>
      </c>
      <c r="AV3" t="s">
        <v>16</v>
      </c>
      <c r="AW3" t="s">
        <v>11</v>
      </c>
      <c r="AX3" t="s">
        <v>11</v>
      </c>
      <c r="AY3" t="s">
        <v>16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  <c r="BI3" t="s">
        <v>16</v>
      </c>
      <c r="BJ3" t="s">
        <v>16</v>
      </c>
      <c r="BK3" t="s">
        <v>16</v>
      </c>
      <c r="BL3" t="s">
        <v>16</v>
      </c>
      <c r="BM3" t="s">
        <v>16</v>
      </c>
      <c r="BN3" t="s">
        <v>16</v>
      </c>
      <c r="BO3" t="s">
        <v>16</v>
      </c>
      <c r="BP3" t="s">
        <v>16</v>
      </c>
      <c r="BQ3" t="s">
        <v>16</v>
      </c>
      <c r="BR3" t="s">
        <v>16</v>
      </c>
    </row>
    <row r="4" spans="1:70">
      <c r="A4">
        <v>0</v>
      </c>
      <c r="B4" t="s">
        <v>9</v>
      </c>
      <c r="C4" t="s">
        <v>16</v>
      </c>
      <c r="D4">
        <v>1.6175</v>
      </c>
      <c r="F4" s="1" t="s">
        <v>6</v>
      </c>
      <c r="G4">
        <v>0.84</v>
      </c>
      <c r="H4">
        <v>0.6225</v>
      </c>
      <c r="I4">
        <v>1.6175</v>
      </c>
      <c r="J4">
        <v>0.4175</v>
      </c>
      <c r="K4">
        <v>0.7075</v>
      </c>
      <c r="L4">
        <v>1.1975</v>
      </c>
      <c r="M4">
        <v>0.7625</v>
      </c>
      <c r="N4">
        <v>2.6875</v>
      </c>
      <c r="O4">
        <v>0.585</v>
      </c>
      <c r="P4">
        <v>1.115</v>
      </c>
      <c r="Q4">
        <v>1.55</v>
      </c>
      <c r="R4">
        <v>0.9</v>
      </c>
      <c r="S4">
        <v>3.0575</v>
      </c>
      <c r="T4">
        <v>0.905</v>
      </c>
      <c r="U4">
        <v>1.505</v>
      </c>
      <c r="V4">
        <v>2.06</v>
      </c>
      <c r="W4">
        <v>1.3425</v>
      </c>
      <c r="X4">
        <v>4.4</v>
      </c>
      <c r="Y4">
        <v>1.175</v>
      </c>
      <c r="Z4">
        <v>2.1225</v>
      </c>
      <c r="AA4">
        <v>0.7325</v>
      </c>
      <c r="AB4">
        <v>1.2625</v>
      </c>
      <c r="AC4">
        <v>1.055</v>
      </c>
      <c r="AD4">
        <v>0.7625</v>
      </c>
      <c r="AE4">
        <v>1.1175</v>
      </c>
      <c r="AF4">
        <v>0.99</v>
      </c>
      <c r="AG4">
        <v>1.62</v>
      </c>
      <c r="AH4">
        <v>1.4</v>
      </c>
      <c r="AI4">
        <v>1.1675</v>
      </c>
      <c r="AJ4">
        <v>1.975</v>
      </c>
      <c r="AK4">
        <v>1.2175</v>
      </c>
      <c r="AL4">
        <v>1.5275</v>
      </c>
      <c r="AM4">
        <v>1.5275</v>
      </c>
      <c r="AN4">
        <v>1.3425</v>
      </c>
      <c r="AO4">
        <v>1.5525</v>
      </c>
      <c r="AP4">
        <v>2.9625</v>
      </c>
      <c r="AQ4">
        <v>1.375</v>
      </c>
      <c r="AR4">
        <v>1.74</v>
      </c>
      <c r="AS4">
        <v>1.74</v>
      </c>
      <c r="AT4">
        <v>1.5275</v>
      </c>
      <c r="AU4">
        <v>1.575</v>
      </c>
      <c r="AV4">
        <v>1.2525</v>
      </c>
      <c r="AW4">
        <v>1.2625</v>
      </c>
      <c r="AX4">
        <v>1.62</v>
      </c>
      <c r="AY4">
        <v>0.8525</v>
      </c>
      <c r="AZ4">
        <v>1.3325</v>
      </c>
      <c r="BA4">
        <v>0.72</v>
      </c>
      <c r="BB4">
        <v>2.06</v>
      </c>
      <c r="BC4">
        <v>0.6275</v>
      </c>
      <c r="BD4">
        <v>0.465</v>
      </c>
      <c r="BE4">
        <v>1.0475</v>
      </c>
      <c r="BF4">
        <v>1.445</v>
      </c>
      <c r="BG4">
        <v>0.8875</v>
      </c>
      <c r="BH4">
        <v>2.635</v>
      </c>
      <c r="BI4">
        <v>0.455</v>
      </c>
      <c r="BJ4">
        <v>0.92</v>
      </c>
      <c r="BK4">
        <v>1.45</v>
      </c>
      <c r="BL4">
        <v>0.68</v>
      </c>
      <c r="BM4">
        <v>2.3525</v>
      </c>
      <c r="BN4">
        <v>0.3425</v>
      </c>
      <c r="BO4">
        <v>0.8025</v>
      </c>
      <c r="BP4">
        <v>1.1725</v>
      </c>
      <c r="BQ4">
        <v>0.5875</v>
      </c>
      <c r="BR4">
        <v>1.2925</v>
      </c>
    </row>
    <row r="5" spans="1:70">
      <c r="A5">
        <v>0</v>
      </c>
      <c r="B5" t="s">
        <v>9</v>
      </c>
      <c r="C5" t="s">
        <v>16</v>
      </c>
      <c r="D5">
        <v>0.4175</v>
      </c>
    </row>
    <row r="6" spans="1:70">
      <c r="A6">
        <v>0</v>
      </c>
      <c r="B6" t="s">
        <v>9</v>
      </c>
      <c r="C6" t="s">
        <v>16</v>
      </c>
      <c r="D6">
        <v>0.7075</v>
      </c>
    </row>
    <row r="7" spans="1:70">
      <c r="A7">
        <v>1</v>
      </c>
      <c r="B7" t="s">
        <v>9</v>
      </c>
      <c r="C7" t="s">
        <v>16</v>
      </c>
      <c r="D7">
        <v>1.1975</v>
      </c>
      <c r="F7" t="s">
        <v>16</v>
      </c>
      <c r="G7" t="s">
        <v>9</v>
      </c>
      <c r="U7" t="s">
        <v>498</v>
      </c>
      <c r="V7" t="s">
        <v>498</v>
      </c>
      <c r="W7" t="s">
        <v>498</v>
      </c>
    </row>
    <row r="8" spans="1:70">
      <c r="A8">
        <v>1</v>
      </c>
      <c r="B8" t="s">
        <v>9</v>
      </c>
      <c r="C8" t="s">
        <v>16</v>
      </c>
      <c r="D8">
        <v>0.7625</v>
      </c>
      <c r="M8" t="s">
        <v>508</v>
      </c>
      <c r="N8" s="2" t="s">
        <v>497</v>
      </c>
      <c r="O8" s="2" t="s">
        <v>498</v>
      </c>
      <c r="Q8" t="s">
        <v>514</v>
      </c>
      <c r="R8" t="s">
        <v>515</v>
      </c>
      <c r="S8" s="1" t="s">
        <v>516</v>
      </c>
      <c r="T8" s="1" t="s">
        <v>517</v>
      </c>
      <c r="U8" t="s">
        <v>515</v>
      </c>
      <c r="V8" s="1" t="s">
        <v>516</v>
      </c>
      <c r="W8" s="1" t="s">
        <v>517</v>
      </c>
    </row>
    <row r="9" spans="1:70">
      <c r="A9">
        <v>1</v>
      </c>
      <c r="B9" t="s">
        <v>9</v>
      </c>
      <c r="C9" t="s">
        <v>16</v>
      </c>
      <c r="D9">
        <v>2.6875</v>
      </c>
      <c r="F9" s="1">
        <v>0</v>
      </c>
      <c r="G9">
        <v>0.84</v>
      </c>
      <c r="H9">
        <v>0.6225</v>
      </c>
      <c r="I9">
        <v>1.6175</v>
      </c>
      <c r="J9">
        <v>0.4175</v>
      </c>
      <c r="K9">
        <v>0.7075</v>
      </c>
      <c r="M9" s="1">
        <v>0</v>
      </c>
      <c r="N9" s="2">
        <f>AVERAGE(G9:K9)</f>
        <v>0.841</v>
      </c>
      <c r="O9" s="2">
        <f>(STDEV(G9:K9))/(SQRT(COUNT(G9:K9)))</f>
        <v>0.205896818819524</v>
      </c>
      <c r="Q9">
        <v>0</v>
      </c>
      <c r="R9" s="2">
        <f>N9</f>
        <v>0.841</v>
      </c>
      <c r="S9" s="2">
        <f>N19</f>
        <v>0.986</v>
      </c>
      <c r="T9" s="2">
        <f>N28</f>
        <v>1.1185</v>
      </c>
      <c r="U9" s="2">
        <f>O9</f>
        <v>0.205896818819524</v>
      </c>
      <c r="V9" s="2">
        <f>O19</f>
        <v>0.10313098467483</v>
      </c>
      <c r="W9" s="2">
        <f>O28</f>
        <v>0.264845001840699</v>
      </c>
    </row>
    <row r="10" spans="1:70">
      <c r="A10">
        <v>1</v>
      </c>
      <c r="B10" t="s">
        <v>9</v>
      </c>
      <c r="C10" t="s">
        <v>16</v>
      </c>
      <c r="D10">
        <v>0.585</v>
      </c>
      <c r="F10" s="1">
        <v>1</v>
      </c>
      <c r="G10">
        <v>1.1975</v>
      </c>
      <c r="H10">
        <v>0.7625</v>
      </c>
      <c r="I10">
        <v>2.6875</v>
      </c>
      <c r="J10">
        <v>0.585</v>
      </c>
      <c r="K10">
        <v>1.115</v>
      </c>
      <c r="M10" s="1">
        <v>1</v>
      </c>
      <c r="N10" s="2">
        <f>AVERAGE(G10:K10)</f>
        <v>1.2695</v>
      </c>
      <c r="O10" s="2">
        <f>(STDEV(G10:K10))/(SQRT(COUNT(G10:K10)))</f>
        <v>0.371844557577491</v>
      </c>
      <c r="Q10">
        <v>1</v>
      </c>
      <c r="R10" s="2">
        <f>N10</f>
        <v>1.2695</v>
      </c>
      <c r="S10" s="2">
        <f>N20</f>
        <v>1.4305</v>
      </c>
      <c r="T10" s="2">
        <f>N29</f>
        <v>1.296</v>
      </c>
      <c r="U10" s="2">
        <f>O10</f>
        <v>0.371844557577491</v>
      </c>
      <c r="V10" s="2">
        <f>O20</f>
        <v>0.172703503149183</v>
      </c>
      <c r="W10" s="2">
        <f>O29</f>
        <v>0.369750422582585</v>
      </c>
    </row>
    <row r="11" spans="1:70">
      <c r="A11">
        <v>1</v>
      </c>
      <c r="B11" t="s">
        <v>9</v>
      </c>
      <c r="C11" t="s">
        <v>16</v>
      </c>
      <c r="D11">
        <v>1.115</v>
      </c>
      <c r="F11" s="1">
        <v>2</v>
      </c>
      <c r="G11">
        <v>1.55</v>
      </c>
      <c r="H11">
        <v>0.9</v>
      </c>
      <c r="I11">
        <v>3.0575</v>
      </c>
      <c r="J11">
        <v>0.905</v>
      </c>
      <c r="K11">
        <v>1.505</v>
      </c>
      <c r="M11" s="1">
        <v>2</v>
      </c>
      <c r="N11" s="2">
        <f>AVERAGE(G11:K11)</f>
        <v>1.5835</v>
      </c>
      <c r="O11" s="2">
        <f>(STDEV(G11:K11))/(SQRT(COUNT(G11:K11)))</f>
        <v>0.394176039352977</v>
      </c>
      <c r="Q11">
        <v>2</v>
      </c>
      <c r="R11" s="2">
        <f>N11</f>
        <v>1.5835</v>
      </c>
      <c r="S11" s="2">
        <f>N21</f>
        <v>1.4335</v>
      </c>
      <c r="T11" s="2">
        <f>N30</f>
        <v>1.1715</v>
      </c>
      <c r="U11" s="2">
        <f>O11</f>
        <v>0.394176039352977</v>
      </c>
      <c r="V11" s="2">
        <f>O21</f>
        <v>0.0658672908202546</v>
      </c>
      <c r="W11" s="2">
        <f>O30</f>
        <v>0.338416902651153</v>
      </c>
    </row>
    <row r="12" spans="1:70">
      <c r="A12">
        <v>2</v>
      </c>
      <c r="B12" t="s">
        <v>9</v>
      </c>
      <c r="C12" t="s">
        <v>16</v>
      </c>
      <c r="D12">
        <v>1.55</v>
      </c>
      <c r="F12" s="1">
        <v>3</v>
      </c>
      <c r="G12">
        <v>2.06</v>
      </c>
      <c r="H12">
        <v>1.3425</v>
      </c>
      <c r="I12">
        <v>4.4</v>
      </c>
      <c r="J12">
        <v>1.175</v>
      </c>
      <c r="K12">
        <v>2.1225</v>
      </c>
      <c r="M12" s="1">
        <v>3</v>
      </c>
      <c r="N12" s="2">
        <f>AVERAGE(G12:K12)</f>
        <v>2.22</v>
      </c>
      <c r="O12" s="2">
        <f>(STDEV(G12:K12))/(SQRT(COUNT(G12:K12)))</f>
        <v>0.576608077466835</v>
      </c>
      <c r="Q12">
        <v>3</v>
      </c>
      <c r="R12" s="2">
        <f>N12</f>
        <v>2.22</v>
      </c>
      <c r="S12" s="2">
        <f>N22</f>
        <v>1.494</v>
      </c>
      <c r="T12" s="2">
        <f>N31</f>
        <v>0.8395</v>
      </c>
      <c r="U12" s="2">
        <f>O12</f>
        <v>0.576608077466835</v>
      </c>
      <c r="V12" s="2">
        <f>O22</f>
        <v>0.0838696905920131</v>
      </c>
      <c r="W12" s="2">
        <f>O31</f>
        <v>0.177197629780988</v>
      </c>
    </row>
    <row r="13" spans="1:70">
      <c r="A13">
        <v>2</v>
      </c>
      <c r="B13" t="s">
        <v>9</v>
      </c>
      <c r="C13" t="s">
        <v>16</v>
      </c>
      <c r="D13">
        <v>0.9</v>
      </c>
    </row>
    <row r="14" spans="1:70">
      <c r="A14">
        <v>2</v>
      </c>
      <c r="B14" t="s">
        <v>9</v>
      </c>
      <c r="C14" t="s">
        <v>16</v>
      </c>
      <c r="D14">
        <v>3.0575</v>
      </c>
    </row>
    <row r="15" spans="1:70">
      <c r="A15">
        <v>2</v>
      </c>
      <c r="B15" t="s">
        <v>9</v>
      </c>
      <c r="C15" t="s">
        <v>16</v>
      </c>
      <c r="D15">
        <v>0.905</v>
      </c>
    </row>
    <row r="16" spans="1:70">
      <c r="A16">
        <v>2</v>
      </c>
      <c r="B16" t="s">
        <v>9</v>
      </c>
      <c r="C16" t="s">
        <v>16</v>
      </c>
      <c r="D16">
        <v>1.505</v>
      </c>
    </row>
    <row r="17" spans="1:15">
      <c r="A17">
        <v>3</v>
      </c>
      <c r="B17" t="s">
        <v>9</v>
      </c>
      <c r="C17" t="s">
        <v>16</v>
      </c>
      <c r="D17">
        <v>2.06</v>
      </c>
      <c r="F17" t="s">
        <v>16</v>
      </c>
      <c r="G17" t="s">
        <v>10</v>
      </c>
    </row>
    <row r="18" spans="1:15">
      <c r="A18">
        <v>3</v>
      </c>
      <c r="B18" t="s">
        <v>9</v>
      </c>
      <c r="C18" t="s">
        <v>16</v>
      </c>
      <c r="D18">
        <v>1.3425</v>
      </c>
      <c r="M18" s="1" t="s">
        <v>509</v>
      </c>
      <c r="N18" s="2" t="s">
        <v>497</v>
      </c>
      <c r="O18" s="2" t="s">
        <v>498</v>
      </c>
    </row>
    <row r="19" spans="1:15">
      <c r="A19">
        <v>3</v>
      </c>
      <c r="B19" t="s">
        <v>9</v>
      </c>
      <c r="C19" t="s">
        <v>16</v>
      </c>
      <c r="D19">
        <v>4.4</v>
      </c>
      <c r="F19" s="1">
        <v>0</v>
      </c>
      <c r="G19">
        <v>0.7325</v>
      </c>
      <c r="H19">
        <v>1.2625</v>
      </c>
      <c r="I19">
        <v>1.055</v>
      </c>
      <c r="J19">
        <v>0.7625</v>
      </c>
      <c r="K19">
        <v>1.1175</v>
      </c>
      <c r="M19" s="1">
        <v>0</v>
      </c>
      <c r="N19" s="2">
        <f>AVERAGE(G19:K19)</f>
        <v>0.986</v>
      </c>
      <c r="O19" s="2">
        <f>(STDEV(G19:K19))/(SQRT(COUNT(G19:K19)))</f>
        <v>0.10313098467483</v>
      </c>
    </row>
    <row r="20" spans="1:15">
      <c r="A20">
        <v>3</v>
      </c>
      <c r="B20" t="s">
        <v>9</v>
      </c>
      <c r="C20" t="s">
        <v>16</v>
      </c>
      <c r="D20">
        <v>1.175</v>
      </c>
      <c r="F20" s="1">
        <v>1</v>
      </c>
      <c r="G20">
        <v>0.99</v>
      </c>
      <c r="H20">
        <v>1.62</v>
      </c>
      <c r="I20">
        <v>1.4</v>
      </c>
      <c r="J20">
        <v>1.1675</v>
      </c>
      <c r="K20">
        <v>1.975</v>
      </c>
      <c r="M20" s="1">
        <v>1</v>
      </c>
      <c r="N20" s="2">
        <f>AVERAGE(G20:K20)</f>
        <v>1.4305</v>
      </c>
      <c r="O20" s="2">
        <f>(STDEV(G20:K20))/(SQRT(COUNT(G20:K20)))</f>
        <v>0.172703503149183</v>
      </c>
    </row>
    <row r="21" spans="1:15">
      <c r="A21">
        <v>3</v>
      </c>
      <c r="B21" t="s">
        <v>9</v>
      </c>
      <c r="C21" t="s">
        <v>16</v>
      </c>
      <c r="D21">
        <v>2.1225</v>
      </c>
      <c r="F21" s="1">
        <v>2</v>
      </c>
      <c r="G21">
        <v>1.2175</v>
      </c>
      <c r="H21">
        <v>1.5275</v>
      </c>
      <c r="I21">
        <v>1.5275</v>
      </c>
      <c r="J21">
        <v>1.3425</v>
      </c>
      <c r="K21">
        <v>1.5525</v>
      </c>
      <c r="M21" s="1">
        <v>2</v>
      </c>
      <c r="N21" s="2">
        <f>AVERAGE(G21:K21)</f>
        <v>1.4335</v>
      </c>
      <c r="O21" s="2">
        <f>(STDEV(G21:K21))/(SQRT(COUNT(G21:K21)))</f>
        <v>0.0658672908202546</v>
      </c>
    </row>
    <row r="22" spans="1:15">
      <c r="A22">
        <v>0</v>
      </c>
      <c r="B22" t="s">
        <v>10</v>
      </c>
      <c r="C22" t="s">
        <v>16</v>
      </c>
      <c r="D22">
        <v>0.7325</v>
      </c>
      <c r="F22" s="1">
        <v>3</v>
      </c>
      <c r="G22">
        <v>1.375</v>
      </c>
      <c r="H22">
        <v>1.74</v>
      </c>
      <c r="I22">
        <v>1.2525</v>
      </c>
      <c r="J22">
        <v>1.5275</v>
      </c>
      <c r="K22">
        <v>1.575</v>
      </c>
      <c r="M22" s="1">
        <v>3</v>
      </c>
      <c r="N22" s="2">
        <f>AVERAGE(G22:K22)</f>
        <v>1.494</v>
      </c>
      <c r="O22" s="2">
        <f>(STDEV(G22:K22))/(SQRT(COUNT(G22:K22)))</f>
        <v>0.0838696905920131</v>
      </c>
    </row>
    <row r="23" spans="1:15">
      <c r="A23">
        <v>0</v>
      </c>
      <c r="B23" t="s">
        <v>10</v>
      </c>
      <c r="C23" t="s">
        <v>16</v>
      </c>
      <c r="D23">
        <v>1.2625</v>
      </c>
    </row>
    <row r="24" spans="1:15">
      <c r="A24">
        <v>0</v>
      </c>
      <c r="B24" t="s">
        <v>10</v>
      </c>
      <c r="C24" t="s">
        <v>16</v>
      </c>
      <c r="D24">
        <v>1.055</v>
      </c>
    </row>
    <row r="25" spans="1:15">
      <c r="A25">
        <v>0</v>
      </c>
      <c r="B25" t="s">
        <v>10</v>
      </c>
      <c r="C25" t="s">
        <v>16</v>
      </c>
      <c r="D25">
        <v>0.7625</v>
      </c>
    </row>
    <row r="26" spans="1:15">
      <c r="A26">
        <v>0</v>
      </c>
      <c r="B26" t="s">
        <v>10</v>
      </c>
      <c r="C26" t="s">
        <v>16</v>
      </c>
      <c r="D26">
        <v>1.1175</v>
      </c>
      <c r="F26" t="s">
        <v>16</v>
      </c>
    </row>
    <row r="27" spans="1:15">
      <c r="A27">
        <v>1</v>
      </c>
      <c r="B27" t="s">
        <v>10</v>
      </c>
      <c r="C27" t="s">
        <v>16</v>
      </c>
      <c r="D27">
        <v>0.99</v>
      </c>
      <c r="G27" t="s">
        <v>19</v>
      </c>
      <c r="M27" s="1" t="s">
        <v>510</v>
      </c>
      <c r="N27" s="2" t="s">
        <v>497</v>
      </c>
      <c r="O27" s="2" t="s">
        <v>498</v>
      </c>
    </row>
    <row r="28" spans="1:15">
      <c r="A28">
        <v>1</v>
      </c>
      <c r="B28" t="s">
        <v>10</v>
      </c>
      <c r="C28" t="s">
        <v>16</v>
      </c>
      <c r="D28">
        <v>1.62</v>
      </c>
      <c r="F28" s="1">
        <v>0</v>
      </c>
      <c r="G28">
        <v>0.8525</v>
      </c>
      <c r="H28">
        <v>1.3325</v>
      </c>
      <c r="I28">
        <v>0.72</v>
      </c>
      <c r="J28">
        <v>2.06</v>
      </c>
      <c r="K28">
        <v>0.6275</v>
      </c>
      <c r="M28" s="1">
        <v>0</v>
      </c>
      <c r="N28" s="2">
        <f>AVERAGE(G28:K28)</f>
        <v>1.1185</v>
      </c>
      <c r="O28" s="2">
        <f>(STDEV(G28:K28))/(SQRT(COUNT(G28:K28)))</f>
        <v>0.264845001840699</v>
      </c>
    </row>
    <row r="29" spans="1:15">
      <c r="A29">
        <v>1</v>
      </c>
      <c r="B29" t="s">
        <v>10</v>
      </c>
      <c r="C29" t="s">
        <v>16</v>
      </c>
      <c r="D29">
        <v>1.4</v>
      </c>
      <c r="F29" s="1">
        <v>1</v>
      </c>
      <c r="G29">
        <v>0.465</v>
      </c>
      <c r="H29">
        <v>1.0475</v>
      </c>
      <c r="I29">
        <v>1.445</v>
      </c>
      <c r="J29">
        <v>0.8875</v>
      </c>
      <c r="K29">
        <v>2.635</v>
      </c>
      <c r="M29" s="1">
        <v>1</v>
      </c>
      <c r="N29" s="2">
        <f>AVERAGE(G29:K29)</f>
        <v>1.296</v>
      </c>
      <c r="O29" s="2">
        <f>(STDEV(G29:K29))/(SQRT(COUNT(G29:K29)))</f>
        <v>0.369750422582585</v>
      </c>
    </row>
    <row r="30" spans="1:15">
      <c r="A30">
        <v>1</v>
      </c>
      <c r="B30" t="s">
        <v>10</v>
      </c>
      <c r="C30" t="s">
        <v>16</v>
      </c>
      <c r="D30">
        <v>1.1675</v>
      </c>
      <c r="F30" s="1">
        <v>2</v>
      </c>
      <c r="G30">
        <v>0.455</v>
      </c>
      <c r="H30">
        <v>0.92</v>
      </c>
      <c r="I30">
        <v>1.45</v>
      </c>
      <c r="J30">
        <v>0.68</v>
      </c>
      <c r="K30">
        <v>2.3525</v>
      </c>
      <c r="M30" s="1">
        <v>2</v>
      </c>
      <c r="N30" s="2">
        <f>AVERAGE(G30:K30)</f>
        <v>1.1715</v>
      </c>
      <c r="O30" s="2">
        <f>(STDEV(G30:K30))/(SQRT(COUNT(G30:K30)))</f>
        <v>0.338416902651153</v>
      </c>
    </row>
    <row r="31" spans="1:15">
      <c r="A31">
        <v>1</v>
      </c>
      <c r="B31" t="s">
        <v>10</v>
      </c>
      <c r="C31" t="s">
        <v>16</v>
      </c>
      <c r="D31">
        <v>1.975</v>
      </c>
      <c r="F31" s="1">
        <v>3</v>
      </c>
      <c r="G31">
        <v>0.3425</v>
      </c>
      <c r="H31">
        <v>0.8025</v>
      </c>
      <c r="I31">
        <v>1.1725</v>
      </c>
      <c r="J31">
        <v>0.5875</v>
      </c>
      <c r="K31">
        <v>1.2925</v>
      </c>
      <c r="M31" s="1">
        <v>3</v>
      </c>
      <c r="N31" s="2">
        <f>AVERAGE(G31:K31)</f>
        <v>0.8395</v>
      </c>
      <c r="O31" s="2">
        <f>(STDEV(G31:K31))/(SQRT(COUNT(G31:K31)))</f>
        <v>0.177197629780988</v>
      </c>
    </row>
    <row r="32" spans="1:15">
      <c r="A32">
        <v>2</v>
      </c>
      <c r="B32" t="s">
        <v>10</v>
      </c>
      <c r="C32" t="s">
        <v>16</v>
      </c>
      <c r="D32">
        <v>1.2175</v>
      </c>
    </row>
    <row r="33" spans="1:4">
      <c r="A33">
        <v>2</v>
      </c>
      <c r="B33" t="s">
        <v>10</v>
      </c>
      <c r="C33" t="s">
        <v>16</v>
      </c>
      <c r="D33">
        <v>1.5275</v>
      </c>
    </row>
    <row r="34" spans="1:4">
      <c r="A34">
        <v>2</v>
      </c>
      <c r="B34" t="s">
        <v>10</v>
      </c>
      <c r="C34" t="s">
        <v>16</v>
      </c>
      <c r="D34">
        <v>1.5275</v>
      </c>
    </row>
    <row r="35" spans="1:4">
      <c r="A35">
        <v>2</v>
      </c>
      <c r="B35" t="s">
        <v>10</v>
      </c>
      <c r="C35" t="s">
        <v>16</v>
      </c>
      <c r="D35">
        <v>1.3425</v>
      </c>
    </row>
    <row r="36" spans="1:4">
      <c r="A36">
        <v>2</v>
      </c>
      <c r="B36" t="s">
        <v>10</v>
      </c>
      <c r="C36" t="s">
        <v>16</v>
      </c>
      <c r="D36">
        <v>1.5525</v>
      </c>
    </row>
    <row r="37" spans="1:4">
      <c r="A37">
        <v>2</v>
      </c>
      <c r="B37" t="s">
        <v>10</v>
      </c>
      <c r="C37" t="s">
        <v>16</v>
      </c>
      <c r="D37">
        <v>2.9625</v>
      </c>
    </row>
    <row r="38" spans="1:4">
      <c r="A38">
        <v>3</v>
      </c>
      <c r="B38" t="s">
        <v>10</v>
      </c>
      <c r="C38" t="s">
        <v>16</v>
      </c>
      <c r="D38">
        <v>1.375</v>
      </c>
    </row>
    <row r="39" spans="1:4">
      <c r="A39">
        <v>3</v>
      </c>
      <c r="B39" t="s">
        <v>10</v>
      </c>
      <c r="C39" t="s">
        <v>16</v>
      </c>
      <c r="D39">
        <v>1.74</v>
      </c>
    </row>
    <row r="40" spans="1:4">
      <c r="A40">
        <v>3</v>
      </c>
      <c r="B40" t="s">
        <v>10</v>
      </c>
      <c r="C40" t="s">
        <v>16</v>
      </c>
      <c r="D40">
        <v>1.74</v>
      </c>
    </row>
    <row r="41" spans="1:4">
      <c r="A41">
        <v>3</v>
      </c>
      <c r="B41" t="s">
        <v>10</v>
      </c>
      <c r="C41" t="s">
        <v>16</v>
      </c>
      <c r="D41">
        <v>1.5275</v>
      </c>
    </row>
    <row r="42" spans="1:4">
      <c r="A42">
        <v>3</v>
      </c>
      <c r="B42" t="s">
        <v>10</v>
      </c>
      <c r="C42" t="s">
        <v>16</v>
      </c>
      <c r="D42">
        <v>1.575</v>
      </c>
    </row>
    <row r="43" spans="1:4">
      <c r="A43">
        <v>3</v>
      </c>
      <c r="B43" t="s">
        <v>10</v>
      </c>
      <c r="C43" t="s">
        <v>16</v>
      </c>
      <c r="D43">
        <v>1.2525</v>
      </c>
    </row>
    <row r="44" spans="1:4">
      <c r="A44">
        <v>0</v>
      </c>
      <c r="B44" t="s">
        <v>10</v>
      </c>
      <c r="C44" t="s">
        <v>11</v>
      </c>
      <c r="D44">
        <v>1.2625</v>
      </c>
    </row>
    <row r="45" spans="1:4">
      <c r="A45">
        <v>1</v>
      </c>
      <c r="B45" t="s">
        <v>10</v>
      </c>
      <c r="C45" t="s">
        <v>11</v>
      </c>
      <c r="D45">
        <v>1.62</v>
      </c>
    </row>
    <row r="46" spans="1:4">
      <c r="A46">
        <v>0</v>
      </c>
      <c r="B46" t="s">
        <v>19</v>
      </c>
      <c r="C46" t="s">
        <v>16</v>
      </c>
      <c r="D46">
        <v>0.8525</v>
      </c>
    </row>
    <row r="47" spans="1:4">
      <c r="A47">
        <v>0</v>
      </c>
      <c r="B47" t="s">
        <v>19</v>
      </c>
      <c r="C47" t="s">
        <v>16</v>
      </c>
      <c r="D47">
        <v>1.3325</v>
      </c>
    </row>
    <row r="48" spans="1:4">
      <c r="A48">
        <v>0</v>
      </c>
      <c r="B48" t="s">
        <v>19</v>
      </c>
      <c r="C48" t="s">
        <v>16</v>
      </c>
      <c r="D48">
        <v>0.72</v>
      </c>
    </row>
    <row r="49" spans="1:4">
      <c r="A49">
        <v>0</v>
      </c>
      <c r="B49" t="s">
        <v>19</v>
      </c>
      <c r="C49" t="s">
        <v>16</v>
      </c>
      <c r="D49">
        <v>2.06</v>
      </c>
    </row>
    <row r="50" spans="1:4">
      <c r="A50">
        <v>0</v>
      </c>
      <c r="B50" t="s">
        <v>19</v>
      </c>
      <c r="C50" t="s">
        <v>16</v>
      </c>
      <c r="D50">
        <v>0.6275</v>
      </c>
    </row>
    <row r="51" spans="1:4">
      <c r="A51">
        <v>1</v>
      </c>
      <c r="B51" t="s">
        <v>19</v>
      </c>
      <c r="C51" t="s">
        <v>16</v>
      </c>
      <c r="D51">
        <v>0.465</v>
      </c>
    </row>
    <row r="52" spans="1:4">
      <c r="A52">
        <v>1</v>
      </c>
      <c r="B52" t="s">
        <v>19</v>
      </c>
      <c r="C52" t="s">
        <v>16</v>
      </c>
      <c r="D52">
        <v>1.0475</v>
      </c>
    </row>
    <row r="53" spans="1:4">
      <c r="A53">
        <v>1</v>
      </c>
      <c r="B53" t="s">
        <v>19</v>
      </c>
      <c r="C53" t="s">
        <v>16</v>
      </c>
      <c r="D53">
        <v>1.445</v>
      </c>
    </row>
    <row r="54" spans="1:4">
      <c r="A54">
        <v>1</v>
      </c>
      <c r="B54" t="s">
        <v>19</v>
      </c>
      <c r="C54" t="s">
        <v>16</v>
      </c>
      <c r="D54">
        <v>0.8875</v>
      </c>
    </row>
    <row r="55" spans="1:4">
      <c r="A55">
        <v>1</v>
      </c>
      <c r="B55" t="s">
        <v>19</v>
      </c>
      <c r="C55" t="s">
        <v>16</v>
      </c>
      <c r="D55">
        <v>2.635</v>
      </c>
    </row>
    <row r="56" spans="1:4">
      <c r="A56">
        <v>2</v>
      </c>
      <c r="B56" t="s">
        <v>19</v>
      </c>
      <c r="C56" t="s">
        <v>16</v>
      </c>
      <c r="D56">
        <v>0.455</v>
      </c>
    </row>
    <row r="57" spans="1:4">
      <c r="A57">
        <v>2</v>
      </c>
      <c r="B57" t="s">
        <v>19</v>
      </c>
      <c r="C57" t="s">
        <v>16</v>
      </c>
      <c r="D57">
        <v>0.92</v>
      </c>
    </row>
    <row r="58" spans="1:4">
      <c r="A58">
        <v>2</v>
      </c>
      <c r="B58" t="s">
        <v>19</v>
      </c>
      <c r="C58" t="s">
        <v>16</v>
      </c>
      <c r="D58">
        <v>1.45</v>
      </c>
    </row>
    <row r="59" spans="1:4">
      <c r="A59">
        <v>2</v>
      </c>
      <c r="B59" t="s">
        <v>19</v>
      </c>
      <c r="C59" t="s">
        <v>16</v>
      </c>
      <c r="D59">
        <v>0.68</v>
      </c>
    </row>
    <row r="60" spans="1:4">
      <c r="A60">
        <v>2</v>
      </c>
      <c r="B60" t="s">
        <v>19</v>
      </c>
      <c r="C60" t="s">
        <v>16</v>
      </c>
      <c r="D60">
        <v>2.3525</v>
      </c>
    </row>
    <row r="61" spans="1:4">
      <c r="A61">
        <v>3</v>
      </c>
      <c r="B61" t="s">
        <v>19</v>
      </c>
      <c r="C61" t="s">
        <v>16</v>
      </c>
      <c r="D61">
        <v>0.3425</v>
      </c>
    </row>
    <row r="62" spans="1:4">
      <c r="A62">
        <v>3</v>
      </c>
      <c r="B62" t="s">
        <v>19</v>
      </c>
      <c r="C62" t="s">
        <v>16</v>
      </c>
      <c r="D62">
        <v>0.8025</v>
      </c>
    </row>
    <row r="63" spans="1:4">
      <c r="A63">
        <v>3</v>
      </c>
      <c r="B63" t="s">
        <v>19</v>
      </c>
      <c r="C63" t="s">
        <v>16</v>
      </c>
      <c r="D63">
        <v>1.1725</v>
      </c>
    </row>
    <row r="64" spans="1:4">
      <c r="A64">
        <v>3</v>
      </c>
      <c r="B64" t="s">
        <v>19</v>
      </c>
      <c r="C64" t="s">
        <v>16</v>
      </c>
      <c r="D64">
        <v>0.5875</v>
      </c>
    </row>
    <row r="65" spans="1:4">
      <c r="A65">
        <v>3</v>
      </c>
      <c r="B65" t="s">
        <v>19</v>
      </c>
      <c r="C65" t="s">
        <v>16</v>
      </c>
      <c r="D65">
        <v>1.2925</v>
      </c>
    </row>
  </sheetData>
  <sortState ref="A2:D65">
    <sortCondition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E1" workbookViewId="0" tabSelected="1">
      <selection pane="topLeft" activeCell="S32" sqref="S32"/>
    </sheetView>
  </sheetViews>
  <sheetFormatPr baseColWidth="10" defaultRowHeight="15"/>
  <cols>
    <col min="3" max="3" width="16.47" customWidth="1"/>
  </cols>
  <sheetData>
    <row r="1" spans="1:67">
      <c r="A1" s="1" t="s">
        <v>2</v>
      </c>
      <c r="B1" s="1" t="s">
        <v>3</v>
      </c>
      <c r="C1" s="1" t="s">
        <v>1</v>
      </c>
      <c r="D1" s="1" t="s">
        <v>6</v>
      </c>
      <c r="G1" s="1" t="s">
        <v>2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2</v>
      </c>
      <c r="S1">
        <v>2</v>
      </c>
      <c r="T1">
        <v>2</v>
      </c>
      <c r="U1">
        <v>2</v>
      </c>
      <c r="V1">
        <v>2</v>
      </c>
      <c r="W1">
        <v>3</v>
      </c>
      <c r="X1">
        <v>3</v>
      </c>
      <c r="Y1">
        <v>3</v>
      </c>
      <c r="Z1">
        <v>3</v>
      </c>
      <c r="AA1">
        <v>3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1</v>
      </c>
      <c r="AI1">
        <v>1</v>
      </c>
      <c r="AJ1">
        <v>1</v>
      </c>
      <c r="AK1">
        <v>1</v>
      </c>
      <c r="AL1">
        <v>2</v>
      </c>
      <c r="AM1">
        <v>2</v>
      </c>
      <c r="AN1">
        <v>2</v>
      </c>
      <c r="AO1">
        <v>2</v>
      </c>
      <c r="AP1">
        <v>2</v>
      </c>
      <c r="AQ1">
        <v>3</v>
      </c>
      <c r="AR1">
        <v>3</v>
      </c>
      <c r="AS1">
        <v>3</v>
      </c>
      <c r="AT1">
        <v>3</v>
      </c>
      <c r="AU1">
        <v>3</v>
      </c>
      <c r="AV1">
        <v>0</v>
      </c>
      <c r="AW1">
        <v>0</v>
      </c>
      <c r="AX1">
        <v>0</v>
      </c>
      <c r="AY1">
        <v>1</v>
      </c>
      <c r="AZ1">
        <v>1</v>
      </c>
      <c r="BA1">
        <v>1</v>
      </c>
      <c r="BB1">
        <v>1</v>
      </c>
      <c r="BC1">
        <v>1</v>
      </c>
      <c r="BD1">
        <v>2</v>
      </c>
      <c r="BE1">
        <v>2</v>
      </c>
      <c r="BF1">
        <v>2</v>
      </c>
      <c r="BG1">
        <v>2</v>
      </c>
      <c r="BH1">
        <v>2</v>
      </c>
      <c r="BI1">
        <v>3</v>
      </c>
      <c r="BJ1">
        <v>3</v>
      </c>
      <c r="BK1">
        <v>3</v>
      </c>
      <c r="BL1">
        <v>3</v>
      </c>
      <c r="BM1">
        <v>3</v>
      </c>
      <c r="BN1">
        <v>0</v>
      </c>
      <c r="BO1">
        <v>0</v>
      </c>
    </row>
    <row r="2" spans="1:67">
      <c r="A2">
        <v>0</v>
      </c>
      <c r="B2" t="s">
        <v>19</v>
      </c>
      <c r="C2" t="s">
        <v>20</v>
      </c>
      <c r="D2">
        <v>1.215</v>
      </c>
      <c r="G2" s="1" t="s">
        <v>3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19</v>
      </c>
      <c r="AA2" t="s">
        <v>19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</row>
    <row r="3" spans="1:67">
      <c r="A3">
        <v>0</v>
      </c>
      <c r="B3" t="s">
        <v>19</v>
      </c>
      <c r="C3" t="s">
        <v>20</v>
      </c>
      <c r="D3">
        <v>1.765</v>
      </c>
      <c r="G3" s="1" t="s">
        <v>1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20</v>
      </c>
      <c r="AG3" t="s">
        <v>20</v>
      </c>
      <c r="AH3" t="s">
        <v>20</v>
      </c>
      <c r="AI3" t="s">
        <v>20</v>
      </c>
      <c r="AJ3" t="s">
        <v>20</v>
      </c>
      <c r="AK3" t="s">
        <v>20</v>
      </c>
      <c r="AL3" t="s">
        <v>20</v>
      </c>
      <c r="AM3" t="s">
        <v>20</v>
      </c>
      <c r="AN3" t="s">
        <v>20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  <c r="BM3" t="s">
        <v>20</v>
      </c>
      <c r="BN3" t="s">
        <v>14</v>
      </c>
      <c r="BO3" t="s">
        <v>14</v>
      </c>
    </row>
    <row r="4" spans="1:67">
      <c r="A4">
        <v>0</v>
      </c>
      <c r="B4" t="s">
        <v>19</v>
      </c>
      <c r="C4" t="s">
        <v>20</v>
      </c>
      <c r="D4">
        <v>1.37</v>
      </c>
      <c r="G4" s="1" t="s">
        <v>6</v>
      </c>
      <c r="H4">
        <v>1.215</v>
      </c>
      <c r="I4">
        <v>1.765</v>
      </c>
      <c r="J4">
        <v>1.37</v>
      </c>
      <c r="K4">
        <v>2.1075</v>
      </c>
      <c r="L4">
        <v>1.5925</v>
      </c>
      <c r="M4">
        <v>1.225</v>
      </c>
      <c r="N4">
        <v>2.0025</v>
      </c>
      <c r="O4">
        <v>1.5675</v>
      </c>
      <c r="P4">
        <v>2.765</v>
      </c>
      <c r="Q4">
        <v>1.765</v>
      </c>
      <c r="R4">
        <v>1</v>
      </c>
      <c r="S4">
        <v>1.7425</v>
      </c>
      <c r="T4">
        <v>1.3675</v>
      </c>
      <c r="U4">
        <v>2.5325</v>
      </c>
      <c r="V4">
        <v>1.3975</v>
      </c>
      <c r="W4">
        <v>0.39</v>
      </c>
      <c r="X4">
        <v>1.3675</v>
      </c>
      <c r="Y4">
        <v>1.11</v>
      </c>
      <c r="Z4">
        <v>2.02</v>
      </c>
      <c r="AA4">
        <v>0.5675</v>
      </c>
      <c r="AB4">
        <v>1.1425</v>
      </c>
      <c r="AC4">
        <v>1.045</v>
      </c>
      <c r="AD4">
        <v>0.4625</v>
      </c>
      <c r="AE4">
        <v>2.805</v>
      </c>
      <c r="AF4">
        <v>0.5475</v>
      </c>
      <c r="AG4">
        <v>2.07</v>
      </c>
      <c r="AH4">
        <v>1.4975</v>
      </c>
      <c r="AI4">
        <v>0.6775</v>
      </c>
      <c r="AJ4">
        <v>3.7625</v>
      </c>
      <c r="AK4">
        <v>0.845</v>
      </c>
      <c r="AL4">
        <v>2.125</v>
      </c>
      <c r="AM4">
        <v>1.91</v>
      </c>
      <c r="AN4">
        <v>0.605</v>
      </c>
      <c r="AO4">
        <v>4.5275</v>
      </c>
      <c r="AP4">
        <v>1.4925</v>
      </c>
      <c r="AQ4">
        <v>2.6625</v>
      </c>
      <c r="AR4">
        <v>1.9325</v>
      </c>
      <c r="AS4">
        <v>0.785</v>
      </c>
      <c r="AT4">
        <v>4.135</v>
      </c>
      <c r="AU4">
        <v>2.4425</v>
      </c>
      <c r="AV4">
        <v>3.0075</v>
      </c>
      <c r="AW4">
        <v>2.115</v>
      </c>
      <c r="AX4">
        <v>1.16</v>
      </c>
      <c r="AY4">
        <v>5.23</v>
      </c>
      <c r="AZ4">
        <v>3.565</v>
      </c>
      <c r="BA4">
        <v>1.77</v>
      </c>
      <c r="BB4">
        <v>2.0275</v>
      </c>
      <c r="BC4">
        <v>5.705</v>
      </c>
      <c r="BD4">
        <v>5.925</v>
      </c>
      <c r="BE4">
        <v>4.2</v>
      </c>
      <c r="BF4">
        <v>2.06</v>
      </c>
      <c r="BG4">
        <v>2.835</v>
      </c>
      <c r="BH4">
        <v>6.83</v>
      </c>
      <c r="BI4">
        <v>6.7475</v>
      </c>
      <c r="BJ4">
        <v>4.395</v>
      </c>
      <c r="BK4">
        <v>3.0675</v>
      </c>
      <c r="BL4">
        <v>3.9375</v>
      </c>
      <c r="BM4">
        <v>9.72</v>
      </c>
      <c r="BN4">
        <v>1.1175</v>
      </c>
      <c r="BO4">
        <v>3.7175</v>
      </c>
    </row>
    <row r="5" spans="1:67">
      <c r="A5">
        <v>0</v>
      </c>
      <c r="B5" t="s">
        <v>19</v>
      </c>
      <c r="C5" t="s">
        <v>20</v>
      </c>
      <c r="D5">
        <v>2.1075</v>
      </c>
    </row>
    <row r="6" spans="1:67">
      <c r="A6">
        <v>0</v>
      </c>
      <c r="B6" t="s">
        <v>19</v>
      </c>
      <c r="C6" t="s">
        <v>20</v>
      </c>
      <c r="D6">
        <v>1.5925</v>
      </c>
    </row>
    <row r="7" spans="1:67">
      <c r="A7">
        <v>1</v>
      </c>
      <c r="B7" t="s">
        <v>19</v>
      </c>
      <c r="C7" t="s">
        <v>20</v>
      </c>
      <c r="D7">
        <v>1.225</v>
      </c>
    </row>
    <row r="8" spans="1:67">
      <c r="A8">
        <v>1</v>
      </c>
      <c r="B8" t="s">
        <v>19</v>
      </c>
      <c r="C8" t="s">
        <v>20</v>
      </c>
      <c r="D8">
        <v>2.0025</v>
      </c>
    </row>
    <row r="9" spans="1:67">
      <c r="A9">
        <v>1</v>
      </c>
      <c r="B9" t="s">
        <v>19</v>
      </c>
      <c r="C9" t="s">
        <v>20</v>
      </c>
      <c r="D9">
        <v>1.5675</v>
      </c>
      <c r="G9" t="s">
        <v>20</v>
      </c>
      <c r="H9" t="s">
        <v>9</v>
      </c>
      <c r="V9" t="s">
        <v>498</v>
      </c>
      <c r="W9" t="s">
        <v>498</v>
      </c>
      <c r="X9" t="s">
        <v>498</v>
      </c>
    </row>
    <row r="10" spans="1:67">
      <c r="A10">
        <v>1</v>
      </c>
      <c r="B10" t="s">
        <v>19</v>
      </c>
      <c r="C10" t="s">
        <v>20</v>
      </c>
      <c r="D10">
        <v>2.765</v>
      </c>
      <c r="O10" s="2" t="s">
        <v>497</v>
      </c>
      <c r="P10" s="2" t="s">
        <v>498</v>
      </c>
      <c r="R10" t="s">
        <v>514</v>
      </c>
      <c r="S10" t="s">
        <v>518</v>
      </c>
      <c r="T10" s="1" t="s">
        <v>519</v>
      </c>
      <c r="U10" s="1" t="s">
        <v>520</v>
      </c>
      <c r="V10" t="s">
        <v>518</v>
      </c>
      <c r="W10" s="1" t="s">
        <v>519</v>
      </c>
      <c r="X10" s="1" t="s">
        <v>520</v>
      </c>
    </row>
    <row r="11" spans="1:67">
      <c r="A11">
        <v>1</v>
      </c>
      <c r="B11" t="s">
        <v>19</v>
      </c>
      <c r="C11" t="s">
        <v>20</v>
      </c>
      <c r="D11">
        <v>1.765</v>
      </c>
      <c r="G11" s="1">
        <v>0</v>
      </c>
      <c r="H11">
        <v>1.215</v>
      </c>
      <c r="I11">
        <v>1.765</v>
      </c>
      <c r="J11">
        <v>1.37</v>
      </c>
      <c r="K11">
        <v>2.1075</v>
      </c>
      <c r="L11">
        <v>1.5925</v>
      </c>
      <c r="N11" s="1">
        <v>0</v>
      </c>
      <c r="O11" s="2">
        <f>AVERAGE(H11:L11)</f>
        <v>1.61</v>
      </c>
      <c r="P11" s="2">
        <f>(STDEV(H11:L11))/(SQRT(COUNT(H11:L11)))</f>
        <v>0.155798347231285</v>
      </c>
      <c r="R11">
        <v>0</v>
      </c>
      <c r="S11" s="2">
        <f>O11</f>
        <v>1.61</v>
      </c>
      <c r="T11" s="2">
        <f>O21</f>
        <v>1.2005</v>
      </c>
      <c r="U11" s="2">
        <f>O29</f>
        <v>2.2235</v>
      </c>
      <c r="V11" s="2">
        <f>P11</f>
        <v>0.155798347231285</v>
      </c>
      <c r="W11" s="2">
        <f>P21</f>
        <v>0.422671119193162</v>
      </c>
      <c r="X11" s="2">
        <f>P29</f>
        <v>0.51052583186358</v>
      </c>
    </row>
    <row r="12" spans="1:67">
      <c r="A12">
        <v>2</v>
      </c>
      <c r="B12" t="s">
        <v>19</v>
      </c>
      <c r="C12" t="s">
        <v>20</v>
      </c>
      <c r="D12">
        <v>1</v>
      </c>
      <c r="G12" s="1">
        <v>1</v>
      </c>
      <c r="H12">
        <v>1.225</v>
      </c>
      <c r="I12">
        <v>2.0025</v>
      </c>
      <c r="J12">
        <v>1.5675</v>
      </c>
      <c r="K12">
        <v>2.765</v>
      </c>
      <c r="L12">
        <v>1.765</v>
      </c>
      <c r="N12" s="1">
        <v>1</v>
      </c>
      <c r="O12" s="2">
        <f>AVERAGE(H12:L12)</f>
        <v>1.865</v>
      </c>
      <c r="P12" s="2">
        <f>(STDEV(H12:L12))/(SQRT(COUNT(H12:L12)))</f>
        <v>0.258554878120681</v>
      </c>
      <c r="R12">
        <v>1</v>
      </c>
      <c r="S12" s="2">
        <f>O12</f>
        <v>1.865</v>
      </c>
      <c r="T12" s="2">
        <f>O22</f>
        <v>1.7705</v>
      </c>
      <c r="U12" s="2">
        <f>O30</f>
        <v>3.6595</v>
      </c>
      <c r="V12" s="2">
        <f>P12</f>
        <v>0.258554878120681</v>
      </c>
      <c r="W12" s="2">
        <f>P22</f>
        <v>0.556034733627316</v>
      </c>
      <c r="X12" s="2">
        <f>P30</f>
        <v>0.802904259547799</v>
      </c>
    </row>
    <row r="13" spans="1:67">
      <c r="A13">
        <v>2</v>
      </c>
      <c r="B13" t="s">
        <v>19</v>
      </c>
      <c r="C13" t="s">
        <v>20</v>
      </c>
      <c r="D13">
        <v>1.7425</v>
      </c>
      <c r="G13" s="1">
        <v>2</v>
      </c>
      <c r="H13">
        <v>1</v>
      </c>
      <c r="I13">
        <v>1.7425</v>
      </c>
      <c r="J13">
        <v>1.3675</v>
      </c>
      <c r="K13">
        <v>2.5325</v>
      </c>
      <c r="L13">
        <v>1.3975</v>
      </c>
      <c r="N13" s="1">
        <v>2</v>
      </c>
      <c r="O13" s="2">
        <f>AVERAGE(H13:L13)</f>
        <v>1.608</v>
      </c>
      <c r="P13" s="2">
        <f>(STDEV(H13:L13))/(SQRT(COUNT(H13:L13)))</f>
        <v>0.259287967325906</v>
      </c>
      <c r="R13">
        <v>2</v>
      </c>
      <c r="S13" s="2">
        <f>O13</f>
        <v>1.608</v>
      </c>
      <c r="T13" s="2">
        <f>O23</f>
        <v>2.132</v>
      </c>
      <c r="U13" s="2">
        <f>O31</f>
        <v>4.37</v>
      </c>
      <c r="V13" s="2">
        <f>P13</f>
        <v>0.259287967325906</v>
      </c>
      <c r="W13" s="2">
        <f>P23</f>
        <v>0.653010049692958</v>
      </c>
      <c r="X13" s="2">
        <f>P31</f>
        <v>0.89974579743392</v>
      </c>
    </row>
    <row r="14" spans="1:67">
      <c r="A14">
        <v>2</v>
      </c>
      <c r="B14" t="s">
        <v>19</v>
      </c>
      <c r="C14" t="s">
        <v>20</v>
      </c>
      <c r="D14">
        <v>1.3675</v>
      </c>
      <c r="G14" s="1">
        <v>3</v>
      </c>
      <c r="H14">
        <v>0.39</v>
      </c>
      <c r="I14">
        <v>1.3675</v>
      </c>
      <c r="J14">
        <v>1.11</v>
      </c>
      <c r="K14">
        <v>2.02</v>
      </c>
      <c r="L14">
        <v>0.5675</v>
      </c>
      <c r="N14" s="1">
        <v>3</v>
      </c>
      <c r="O14" s="2">
        <f>AVERAGE(H14:L14)</f>
        <v>1.091</v>
      </c>
      <c r="P14" s="2">
        <f>(STDEV(H14:L14))/(SQRT(COUNT(H14:L14)))</f>
        <v>0.292002354442563</v>
      </c>
      <c r="R14">
        <v>3</v>
      </c>
      <c r="S14" s="2">
        <f>O14</f>
        <v>1.091</v>
      </c>
      <c r="T14" s="2">
        <f>O24</f>
        <v>2.3915</v>
      </c>
      <c r="U14" s="2">
        <f>O32</f>
        <v>5.5735</v>
      </c>
      <c r="V14" s="2">
        <f>P14</f>
        <v>0.292002354442563</v>
      </c>
      <c r="W14" s="2">
        <f>P24</f>
        <v>0.54347757543435</v>
      </c>
      <c r="X14" s="2">
        <f>P32</f>
        <v>1.20243778425331</v>
      </c>
    </row>
    <row r="15" spans="1:67">
      <c r="A15">
        <v>2</v>
      </c>
      <c r="B15" t="s">
        <v>19</v>
      </c>
      <c r="C15" t="s">
        <v>20</v>
      </c>
      <c r="D15">
        <v>2.5325</v>
      </c>
    </row>
    <row r="16" spans="1:67">
      <c r="A16">
        <v>2</v>
      </c>
      <c r="B16" t="s">
        <v>19</v>
      </c>
      <c r="C16" t="s">
        <v>20</v>
      </c>
      <c r="D16">
        <v>1.3975</v>
      </c>
    </row>
    <row r="17" spans="1:16">
      <c r="A17">
        <v>3</v>
      </c>
      <c r="B17" t="s">
        <v>19</v>
      </c>
      <c r="C17" t="s">
        <v>20</v>
      </c>
      <c r="D17">
        <v>0.39</v>
      </c>
    </row>
    <row r="18" spans="1:16">
      <c r="A18">
        <v>3</v>
      </c>
      <c r="B18" t="s">
        <v>19</v>
      </c>
      <c r="C18" t="s">
        <v>20</v>
      </c>
      <c r="D18">
        <v>1.3675</v>
      </c>
    </row>
    <row r="19" spans="1:16">
      <c r="A19">
        <v>3</v>
      </c>
      <c r="B19" t="s">
        <v>19</v>
      </c>
      <c r="C19" t="s">
        <v>20</v>
      </c>
      <c r="D19">
        <v>1.11</v>
      </c>
      <c r="G19" t="s">
        <v>20</v>
      </c>
      <c r="H19" t="s">
        <v>10</v>
      </c>
    </row>
    <row r="20" spans="1:16">
      <c r="A20">
        <v>3</v>
      </c>
      <c r="B20" t="s">
        <v>19</v>
      </c>
      <c r="C20" t="s">
        <v>20</v>
      </c>
      <c r="D20">
        <v>2.02</v>
      </c>
      <c r="O20" s="2" t="s">
        <v>497</v>
      </c>
      <c r="P20" s="2" t="s">
        <v>498</v>
      </c>
    </row>
    <row r="21" spans="1:16">
      <c r="A21">
        <v>3</v>
      </c>
      <c r="B21" t="s">
        <v>19</v>
      </c>
      <c r="C21" t="s">
        <v>20</v>
      </c>
      <c r="D21">
        <v>0.5675</v>
      </c>
      <c r="G21" s="1">
        <v>0</v>
      </c>
      <c r="H21">
        <v>1.1425</v>
      </c>
      <c r="I21">
        <v>1.045</v>
      </c>
      <c r="J21">
        <v>0.4625</v>
      </c>
      <c r="K21">
        <v>2.805</v>
      </c>
      <c r="L21">
        <v>0.5475</v>
      </c>
      <c r="N21" s="1">
        <v>0</v>
      </c>
      <c r="O21" s="2">
        <f>AVERAGE(H21:L21)</f>
        <v>1.2005</v>
      </c>
      <c r="P21" s="2">
        <f>(STDEV(H21:L21))/(SQRT(COUNT(H21:L21)))</f>
        <v>0.422671119193162</v>
      </c>
    </row>
    <row r="22" spans="1:16">
      <c r="A22">
        <v>0</v>
      </c>
      <c r="B22" t="s">
        <v>10</v>
      </c>
      <c r="C22" t="s">
        <v>20</v>
      </c>
      <c r="D22">
        <v>1.1425</v>
      </c>
      <c r="G22" s="1">
        <v>1</v>
      </c>
      <c r="H22">
        <v>2.07</v>
      </c>
      <c r="I22">
        <v>1.4975</v>
      </c>
      <c r="J22">
        <v>0.6775</v>
      </c>
      <c r="K22">
        <v>3.7625</v>
      </c>
      <c r="L22">
        <v>0.845</v>
      </c>
      <c r="N22" s="1">
        <v>1</v>
      </c>
      <c r="O22" s="2">
        <f>AVERAGE(H22:L22)</f>
        <v>1.7705</v>
      </c>
      <c r="P22" s="2">
        <f>(STDEV(H22:L22))/(SQRT(COUNT(H22:L22)))</f>
        <v>0.556034733627316</v>
      </c>
    </row>
    <row r="23" spans="1:16">
      <c r="A23">
        <v>0</v>
      </c>
      <c r="B23" t="s">
        <v>10</v>
      </c>
      <c r="C23" t="s">
        <v>20</v>
      </c>
      <c r="D23">
        <v>1.045</v>
      </c>
      <c r="G23" s="1">
        <v>2</v>
      </c>
      <c r="H23">
        <v>2.125</v>
      </c>
      <c r="I23">
        <v>1.91</v>
      </c>
      <c r="J23">
        <v>0.605</v>
      </c>
      <c r="K23">
        <v>4.5275</v>
      </c>
      <c r="L23">
        <v>1.4925</v>
      </c>
      <c r="N23" s="1">
        <v>2</v>
      </c>
      <c r="O23" s="2">
        <f>AVERAGE(H23:L23)</f>
        <v>2.132</v>
      </c>
      <c r="P23" s="2">
        <f>(STDEV(H23:L23))/(SQRT(COUNT(H23:L23)))</f>
        <v>0.653010049692958</v>
      </c>
    </row>
    <row r="24" spans="1:16">
      <c r="A24">
        <v>0</v>
      </c>
      <c r="B24" t="s">
        <v>10</v>
      </c>
      <c r="C24" t="s">
        <v>20</v>
      </c>
      <c r="D24">
        <v>0.4625</v>
      </c>
      <c r="G24" s="1">
        <v>3</v>
      </c>
      <c r="H24">
        <v>2.6625</v>
      </c>
      <c r="I24">
        <v>1.9325</v>
      </c>
      <c r="J24">
        <v>0.785</v>
      </c>
      <c r="K24">
        <v>4.135</v>
      </c>
      <c r="L24">
        <v>2.4425</v>
      </c>
      <c r="N24" s="1">
        <v>3</v>
      </c>
      <c r="O24" s="2">
        <f>AVERAGE(H24:L24)</f>
        <v>2.3915</v>
      </c>
      <c r="P24" s="2">
        <f>(STDEV(H24:L24))/(SQRT(COUNT(H24:L24)))</f>
        <v>0.54347757543435</v>
      </c>
    </row>
    <row r="25" spans="1:16">
      <c r="A25">
        <v>0</v>
      </c>
      <c r="B25" t="s">
        <v>10</v>
      </c>
      <c r="C25" t="s">
        <v>20</v>
      </c>
      <c r="D25">
        <v>2.805</v>
      </c>
    </row>
    <row r="26" spans="1:16">
      <c r="A26">
        <v>0</v>
      </c>
      <c r="B26" t="s">
        <v>10</v>
      </c>
      <c r="C26" t="s">
        <v>20</v>
      </c>
      <c r="D26">
        <v>0.5475</v>
      </c>
    </row>
    <row r="27" spans="1:16">
      <c r="A27">
        <v>1</v>
      </c>
      <c r="B27" t="s">
        <v>10</v>
      </c>
      <c r="C27" t="s">
        <v>20</v>
      </c>
      <c r="D27">
        <v>2.07</v>
      </c>
      <c r="G27" t="s">
        <v>20</v>
      </c>
      <c r="H27" t="s">
        <v>19</v>
      </c>
    </row>
    <row r="28" spans="1:16">
      <c r="A28">
        <v>1</v>
      </c>
      <c r="B28" t="s">
        <v>10</v>
      </c>
      <c r="C28" t="s">
        <v>20</v>
      </c>
      <c r="D28">
        <v>1.4975</v>
      </c>
      <c r="O28" s="2" t="s">
        <v>497</v>
      </c>
      <c r="P28" s="2" t="s">
        <v>498</v>
      </c>
    </row>
    <row r="29" spans="1:16">
      <c r="A29">
        <v>1</v>
      </c>
      <c r="B29" t="s">
        <v>10</v>
      </c>
      <c r="C29" t="s">
        <v>20</v>
      </c>
      <c r="D29">
        <v>0.6775</v>
      </c>
      <c r="G29" s="1">
        <v>0</v>
      </c>
      <c r="H29">
        <v>3.0075</v>
      </c>
      <c r="I29">
        <v>2.115</v>
      </c>
      <c r="J29">
        <v>1.16</v>
      </c>
      <c r="K29">
        <v>1.1175</v>
      </c>
      <c r="L29">
        <v>3.7175</v>
      </c>
      <c r="N29" s="1">
        <v>0</v>
      </c>
      <c r="O29" s="2">
        <f>AVERAGE(H29:L29)</f>
        <v>2.2235</v>
      </c>
      <c r="P29" s="2">
        <f>(STDEV(H29:L29))/(SQRT(COUNT(H29:L29)))</f>
        <v>0.51052583186358</v>
      </c>
    </row>
    <row r="30" spans="1:16">
      <c r="A30">
        <v>1</v>
      </c>
      <c r="B30" t="s">
        <v>10</v>
      </c>
      <c r="C30" t="s">
        <v>20</v>
      </c>
      <c r="D30">
        <v>3.7625</v>
      </c>
      <c r="G30" s="1">
        <v>1</v>
      </c>
      <c r="H30">
        <v>5.23</v>
      </c>
      <c r="I30">
        <v>3.565</v>
      </c>
      <c r="J30">
        <v>1.77</v>
      </c>
      <c r="K30">
        <v>2.0275</v>
      </c>
      <c r="L30">
        <v>5.705</v>
      </c>
      <c r="N30" s="1">
        <v>1</v>
      </c>
      <c r="O30" s="2">
        <f>AVERAGE(H30:L30)</f>
        <v>3.6595</v>
      </c>
      <c r="P30" s="2">
        <f>(STDEV(H30:L30))/(SQRT(COUNT(H30:L30)))</f>
        <v>0.802904259547799</v>
      </c>
    </row>
    <row r="31" spans="1:16">
      <c r="A31">
        <v>1</v>
      </c>
      <c r="B31" t="s">
        <v>10</v>
      </c>
      <c r="C31" t="s">
        <v>20</v>
      </c>
      <c r="D31">
        <v>0.845</v>
      </c>
      <c r="G31" s="1">
        <v>2</v>
      </c>
      <c r="H31">
        <v>5.925</v>
      </c>
      <c r="I31">
        <v>4.2</v>
      </c>
      <c r="J31">
        <v>2.06</v>
      </c>
      <c r="K31">
        <v>2.835</v>
      </c>
      <c r="L31">
        <v>6.83</v>
      </c>
      <c r="N31" s="1">
        <v>2</v>
      </c>
      <c r="O31" s="2">
        <f>AVERAGE(H31:L31)</f>
        <v>4.37</v>
      </c>
      <c r="P31" s="2">
        <f>(STDEV(H31:L31))/(SQRT(COUNT(H31:L31)))</f>
        <v>0.89974579743392</v>
      </c>
    </row>
    <row r="32" spans="1:16">
      <c r="A32">
        <v>2</v>
      </c>
      <c r="B32" t="s">
        <v>10</v>
      </c>
      <c r="C32" t="s">
        <v>20</v>
      </c>
      <c r="D32">
        <v>2.125</v>
      </c>
      <c r="G32" s="1">
        <v>3</v>
      </c>
      <c r="H32">
        <v>6.7475</v>
      </c>
      <c r="I32">
        <v>4.395</v>
      </c>
      <c r="J32">
        <v>3.0675</v>
      </c>
      <c r="K32">
        <v>3.9375</v>
      </c>
      <c r="L32" s="4">
        <v>9.72</v>
      </c>
      <c r="N32" s="1">
        <v>3</v>
      </c>
      <c r="O32" s="2">
        <f>AVERAGE(H32:L32)</f>
        <v>5.5735</v>
      </c>
      <c r="P32" s="2">
        <f>(STDEV(H32:L32))/(SQRT(COUNT(H32:L32)))</f>
        <v>1.20243778425331</v>
      </c>
    </row>
    <row r="33" spans="1:4">
      <c r="A33">
        <v>2</v>
      </c>
      <c r="B33" t="s">
        <v>10</v>
      </c>
      <c r="C33" t="s">
        <v>20</v>
      </c>
      <c r="D33">
        <v>1.91</v>
      </c>
    </row>
    <row r="34" spans="1:4">
      <c r="A34">
        <v>2</v>
      </c>
      <c r="B34" t="s">
        <v>10</v>
      </c>
      <c r="C34" t="s">
        <v>20</v>
      </c>
      <c r="D34">
        <v>0.605</v>
      </c>
    </row>
    <row r="35" spans="1:4">
      <c r="A35">
        <v>2</v>
      </c>
      <c r="B35" t="s">
        <v>10</v>
      </c>
      <c r="C35" t="s">
        <v>20</v>
      </c>
      <c r="D35">
        <v>4.5275</v>
      </c>
    </row>
    <row r="36" spans="1:4">
      <c r="A36">
        <v>2</v>
      </c>
      <c r="B36" t="s">
        <v>10</v>
      </c>
      <c r="C36" t="s">
        <v>20</v>
      </c>
      <c r="D36">
        <v>1.4925</v>
      </c>
    </row>
    <row r="37" spans="1:4">
      <c r="A37">
        <v>3</v>
      </c>
      <c r="B37" t="s">
        <v>10</v>
      </c>
      <c r="C37" t="s">
        <v>20</v>
      </c>
      <c r="D37">
        <v>2.6625</v>
      </c>
    </row>
    <row r="38" spans="1:4">
      <c r="A38">
        <v>3</v>
      </c>
      <c r="B38" t="s">
        <v>10</v>
      </c>
      <c r="C38" t="s">
        <v>20</v>
      </c>
      <c r="D38">
        <v>1.9325</v>
      </c>
    </row>
    <row r="39" spans="1:4">
      <c r="A39">
        <v>3</v>
      </c>
      <c r="B39" t="s">
        <v>10</v>
      </c>
      <c r="C39" t="s">
        <v>20</v>
      </c>
      <c r="D39">
        <v>0.785</v>
      </c>
    </row>
    <row r="40" spans="1:4">
      <c r="A40">
        <v>3</v>
      </c>
      <c r="B40" t="s">
        <v>10</v>
      </c>
      <c r="C40" t="s">
        <v>20</v>
      </c>
      <c r="D40">
        <v>4.135</v>
      </c>
    </row>
    <row r="41" spans="1:4">
      <c r="A41">
        <v>3</v>
      </c>
      <c r="B41" t="s">
        <v>10</v>
      </c>
      <c r="C41" t="s">
        <v>20</v>
      </c>
      <c r="D41">
        <v>2.4425</v>
      </c>
    </row>
    <row r="42" spans="1:4">
      <c r="A42">
        <v>0</v>
      </c>
      <c r="B42" t="s">
        <v>9</v>
      </c>
      <c r="C42" t="s">
        <v>20</v>
      </c>
      <c r="D42">
        <v>3.0075</v>
      </c>
    </row>
    <row r="43" spans="1:4">
      <c r="A43">
        <v>0</v>
      </c>
      <c r="B43" t="s">
        <v>9</v>
      </c>
      <c r="C43" t="s">
        <v>20</v>
      </c>
      <c r="D43">
        <v>2.115</v>
      </c>
    </row>
    <row r="44" spans="1:4">
      <c r="A44">
        <v>0</v>
      </c>
      <c r="B44" t="s">
        <v>9</v>
      </c>
      <c r="C44" t="s">
        <v>20</v>
      </c>
      <c r="D44">
        <v>1.16</v>
      </c>
    </row>
    <row r="45" spans="1:4">
      <c r="A45">
        <v>1</v>
      </c>
      <c r="B45" t="s">
        <v>9</v>
      </c>
      <c r="C45" t="s">
        <v>20</v>
      </c>
      <c r="D45">
        <v>5.23</v>
      </c>
    </row>
    <row r="46" spans="1:4">
      <c r="A46">
        <v>1</v>
      </c>
      <c r="B46" t="s">
        <v>9</v>
      </c>
      <c r="C46" t="s">
        <v>20</v>
      </c>
      <c r="D46">
        <v>3.565</v>
      </c>
    </row>
    <row r="47" spans="1:4">
      <c r="A47">
        <v>1</v>
      </c>
      <c r="B47" t="s">
        <v>9</v>
      </c>
      <c r="C47" t="s">
        <v>20</v>
      </c>
      <c r="D47">
        <v>1.77</v>
      </c>
    </row>
    <row r="48" spans="1:4">
      <c r="A48">
        <v>1</v>
      </c>
      <c r="B48" t="s">
        <v>9</v>
      </c>
      <c r="C48" t="s">
        <v>20</v>
      </c>
      <c r="D48">
        <v>2.0275</v>
      </c>
    </row>
    <row r="49" spans="1:4">
      <c r="A49">
        <v>1</v>
      </c>
      <c r="B49" t="s">
        <v>9</v>
      </c>
      <c r="C49" t="s">
        <v>20</v>
      </c>
      <c r="D49">
        <v>5.705</v>
      </c>
    </row>
    <row r="50" spans="1:4">
      <c r="A50">
        <v>2</v>
      </c>
      <c r="B50" t="s">
        <v>9</v>
      </c>
      <c r="C50" t="s">
        <v>20</v>
      </c>
      <c r="D50">
        <v>5.925</v>
      </c>
    </row>
    <row r="51" spans="1:4">
      <c r="A51">
        <v>2</v>
      </c>
      <c r="B51" t="s">
        <v>9</v>
      </c>
      <c r="C51" t="s">
        <v>20</v>
      </c>
      <c r="D51">
        <v>4.2</v>
      </c>
    </row>
    <row r="52" spans="1:4">
      <c r="A52">
        <v>2</v>
      </c>
      <c r="B52" t="s">
        <v>9</v>
      </c>
      <c r="C52" t="s">
        <v>20</v>
      </c>
      <c r="D52">
        <v>2.06</v>
      </c>
    </row>
    <row r="53" spans="1:4">
      <c r="A53">
        <v>2</v>
      </c>
      <c r="B53" t="s">
        <v>9</v>
      </c>
      <c r="C53" t="s">
        <v>20</v>
      </c>
      <c r="D53">
        <v>2.835</v>
      </c>
    </row>
    <row r="54" spans="1:4">
      <c r="A54">
        <v>2</v>
      </c>
      <c r="B54" t="s">
        <v>9</v>
      </c>
      <c r="C54" t="s">
        <v>20</v>
      </c>
      <c r="D54">
        <v>6.83</v>
      </c>
    </row>
    <row r="55" spans="1:4">
      <c r="A55">
        <v>3</v>
      </c>
      <c r="B55" t="s">
        <v>9</v>
      </c>
      <c r="C55" t="s">
        <v>20</v>
      </c>
      <c r="D55">
        <v>6.7475</v>
      </c>
    </row>
    <row r="56" spans="1:4">
      <c r="A56">
        <v>3</v>
      </c>
      <c r="B56" t="s">
        <v>9</v>
      </c>
      <c r="C56" t="s">
        <v>20</v>
      </c>
      <c r="D56">
        <v>4.395</v>
      </c>
    </row>
    <row r="57" spans="1:4">
      <c r="A57">
        <v>3</v>
      </c>
      <c r="B57" t="s">
        <v>9</v>
      </c>
      <c r="C57" t="s">
        <v>20</v>
      </c>
      <c r="D57">
        <v>3.0675</v>
      </c>
    </row>
    <row r="58" spans="1:4">
      <c r="A58">
        <v>3</v>
      </c>
      <c r="B58" t="s">
        <v>9</v>
      </c>
      <c r="C58" t="s">
        <v>20</v>
      </c>
      <c r="D58">
        <v>3.9375</v>
      </c>
    </row>
    <row r="59" spans="1:4">
      <c r="A59">
        <v>3</v>
      </c>
      <c r="B59" t="s">
        <v>9</v>
      </c>
      <c r="C59" t="s">
        <v>20</v>
      </c>
      <c r="D59">
        <v>9.72</v>
      </c>
    </row>
    <row r="60" spans="1:4">
      <c r="A60">
        <v>0</v>
      </c>
      <c r="B60" t="s">
        <v>9</v>
      </c>
      <c r="C60" t="s">
        <v>14</v>
      </c>
      <c r="D60">
        <v>1.1175</v>
      </c>
    </row>
    <row r="61" spans="1:4">
      <c r="A61">
        <v>0</v>
      </c>
      <c r="B61" t="s">
        <v>9</v>
      </c>
      <c r="C61" t="s">
        <v>14</v>
      </c>
      <c r="D61">
        <v>3.7175</v>
      </c>
    </row>
  </sheetData>
  <sortState ref="A2:D61">
    <sortCondition descending="1" ref="B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Pathogen_hyperspectral assay.cs</vt:lpstr>
      <vt:lpstr>split</vt:lpstr>
      <vt:lpstr>Col-0</vt:lpstr>
      <vt:lpstr>cml24-2</vt:lpstr>
      <vt:lpstr>cml24-4</vt:lpstr>
      <vt:lpstr>FLS2-101</vt:lpstr>
      <vt:lpstr>GLR3.3-2</vt:lpstr>
      <vt:lpstr>GLR3.3-1</vt:lpstr>
      <vt:lpstr>GL3.4-2</vt:lpstr>
      <vt:lpstr>GLR3.4-1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Barker</cp:lastModifiedBy>
  <dcterms:created xsi:type="dcterms:W3CDTF">2016-02-28T06:58:00Z</dcterms:created>
  <dcterms:modified xsi:type="dcterms:W3CDTF">2016-02-28T22:26:26Z</dcterms:modified>
</cp:coreProperties>
</file>